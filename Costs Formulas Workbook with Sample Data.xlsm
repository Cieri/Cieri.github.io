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aada7bb5bb16b10/Documents/GitHub/Cieri.github.io/"/>
    </mc:Choice>
  </mc:AlternateContent>
  <xr:revisionPtr revIDLastSave="244" documentId="13_ncr:1_{BC22ED52-02B3-4EEB-81AB-7E0164A7C4BA}" xr6:coauthVersionLast="47" xr6:coauthVersionMax="47" xr10:uidLastSave="{A5EDC4F9-9080-4A1A-9C8B-9D5E01C01285}"/>
  <bookViews>
    <workbookView xWindow="-110" yWindow="-110" windowWidth="19420" windowHeight="10420" tabRatio="795" activeTab="5" xr2:uid="{0EDD6101-CEC5-4C90-B1C7-B999D47DC411}"/>
  </bookViews>
  <sheets>
    <sheet name="Food Prices" sheetId="1" r:id="rId1"/>
    <sheet name="Paper Product Prices" sheetId="11" r:id="rId2"/>
    <sheet name="Recipes" sheetId="12" r:id="rId3"/>
    <sheet name="Sides" sheetId="9" r:id="rId4"/>
    <sheet name="Appetizer" sheetId="10" r:id="rId5"/>
    <sheet name="Pizza" sheetId="4" r:id="rId6"/>
    <sheet name="Stromboli" sheetId="5" r:id="rId7"/>
    <sheet name="Salad" sheetId="8" r:id="rId8"/>
    <sheet name="Cold Sub &amp; Wrap" sheetId="6" r:id="rId9"/>
    <sheet name="Hot Sub" sheetId="7" r:id="rId10"/>
  </sheets>
  <calcPr calcId="191028" iterateDelta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4" i="1" l="1"/>
  <c r="J90" i="1" l="1"/>
  <c r="L90" i="1"/>
  <c r="L11" i="8"/>
  <c r="E27" i="8" s="1"/>
  <c r="S26" i="8"/>
  <c r="S78" i="6" s="1"/>
  <c r="J86" i="1"/>
  <c r="L86" i="1" s="1"/>
  <c r="Q77" i="6"/>
  <c r="Q76" i="6"/>
  <c r="Q65" i="6"/>
  <c r="Q64" i="6"/>
  <c r="J109" i="1"/>
  <c r="L109" i="1"/>
  <c r="E52" i="4"/>
  <c r="J60" i="1"/>
  <c r="L60" i="1" s="1"/>
  <c r="P60" i="1" s="1"/>
  <c r="R237" i="4"/>
  <c r="Q237" i="4"/>
  <c r="K237" i="4"/>
  <c r="J237" i="4"/>
  <c r="D237" i="4"/>
  <c r="C237" i="4"/>
  <c r="Q32" i="5"/>
  <c r="J57" i="1"/>
  <c r="L57" i="1" s="1"/>
  <c r="P57" i="1" s="1"/>
  <c r="J70" i="1"/>
  <c r="L70" i="1" s="1"/>
  <c r="P70" i="1" s="1"/>
  <c r="J20" i="1"/>
  <c r="L20" i="1" s="1"/>
  <c r="H3" i="11"/>
  <c r="J3" i="11"/>
  <c r="L3" i="11"/>
  <c r="H8" i="11"/>
  <c r="H18" i="11"/>
  <c r="H26" i="11"/>
  <c r="J26" i="11"/>
  <c r="J3" i="1"/>
  <c r="E9" i="12"/>
  <c r="G9" i="12" s="1"/>
  <c r="J14" i="1"/>
  <c r="E10" i="12" s="1"/>
  <c r="G10" i="12" s="1"/>
  <c r="J88" i="1"/>
  <c r="L88" i="1"/>
  <c r="P88" i="1"/>
  <c r="E11" i="12"/>
  <c r="G11" i="12"/>
  <c r="J81" i="1"/>
  <c r="L81" i="1"/>
  <c r="E12" i="12"/>
  <c r="G12" i="12"/>
  <c r="J112" i="1"/>
  <c r="L112" i="1"/>
  <c r="P112" i="1"/>
  <c r="E13" i="12"/>
  <c r="G13" i="12"/>
  <c r="J105" i="1"/>
  <c r="L105" i="1"/>
  <c r="P105" i="1"/>
  <c r="E14" i="12"/>
  <c r="G14" i="12"/>
  <c r="J102" i="1"/>
  <c r="L102" i="1"/>
  <c r="P102" i="1"/>
  <c r="E15" i="12"/>
  <c r="G15" i="12"/>
  <c r="J118" i="1"/>
  <c r="L118" i="1"/>
  <c r="P118" i="1"/>
  <c r="E16" i="12"/>
  <c r="G16" i="12"/>
  <c r="J113" i="1"/>
  <c r="L113" i="1"/>
  <c r="P113" i="1"/>
  <c r="E17" i="12"/>
  <c r="G17" i="12"/>
  <c r="H13" i="11"/>
  <c r="L8" i="9"/>
  <c r="N8" i="9"/>
  <c r="H20" i="11"/>
  <c r="L9" i="9"/>
  <c r="N9" i="9"/>
  <c r="L64" i="1"/>
  <c r="P64" i="1" s="1"/>
  <c r="J17" i="1"/>
  <c r="L17" i="1" s="1"/>
  <c r="L22" i="1"/>
  <c r="T40" i="8"/>
  <c r="T74" i="8"/>
  <c r="Q40" i="8"/>
  <c r="J59" i="1"/>
  <c r="L59" i="1" s="1"/>
  <c r="R8" i="8"/>
  <c r="R75" i="8"/>
  <c r="Q74" i="8"/>
  <c r="J8" i="8"/>
  <c r="Q8" i="8"/>
  <c r="L91" i="1"/>
  <c r="E8" i="8"/>
  <c r="L8" i="8"/>
  <c r="S8" i="8"/>
  <c r="U8" i="8"/>
  <c r="U75" i="8"/>
  <c r="J9" i="8"/>
  <c r="Q9" i="8"/>
  <c r="Q10" i="8"/>
  <c r="L10" i="8"/>
  <c r="S10" i="8"/>
  <c r="U10" i="8"/>
  <c r="U77" i="8"/>
  <c r="Q11" i="8"/>
  <c r="S11" i="8"/>
  <c r="U11" i="8" s="1"/>
  <c r="U78" i="8" s="1"/>
  <c r="Q12" i="8"/>
  <c r="J84" i="1"/>
  <c r="L84" i="1"/>
  <c r="L12" i="8"/>
  <c r="S12" i="8"/>
  <c r="U12" i="8"/>
  <c r="U79" i="8"/>
  <c r="L13" i="8"/>
  <c r="S13" i="8"/>
  <c r="U13" i="8" s="1"/>
  <c r="U80" i="8" s="1"/>
  <c r="Q14" i="8"/>
  <c r="H31" i="11"/>
  <c r="E14" i="8"/>
  <c r="L14" i="8"/>
  <c r="S14" i="8"/>
  <c r="U14" i="8"/>
  <c r="U81" i="8"/>
  <c r="Q15" i="8"/>
  <c r="H30" i="11"/>
  <c r="E15" i="8"/>
  <c r="L15" i="8"/>
  <c r="S15" i="8"/>
  <c r="U15" i="8"/>
  <c r="U82" i="8"/>
  <c r="Q16" i="8"/>
  <c r="H25" i="11"/>
  <c r="E16" i="8"/>
  <c r="L16" i="8"/>
  <c r="S16" i="8"/>
  <c r="U16" i="8"/>
  <c r="U83" i="8"/>
  <c r="Q17" i="8"/>
  <c r="J108" i="1"/>
  <c r="L108" i="1" s="1"/>
  <c r="L23" i="12" s="1"/>
  <c r="N23" i="12" s="1"/>
  <c r="N17" i="12" s="1"/>
  <c r="N19" i="12" s="1"/>
  <c r="J77" i="1"/>
  <c r="L77" i="1"/>
  <c r="L24" i="12"/>
  <c r="N24" i="12"/>
  <c r="L25" i="12"/>
  <c r="N25" i="12"/>
  <c r="L14" i="12"/>
  <c r="L26" i="12"/>
  <c r="N26" i="12"/>
  <c r="L15" i="12"/>
  <c r="L27" i="12"/>
  <c r="N27" i="12"/>
  <c r="L35" i="12"/>
  <c r="N35" i="12"/>
  <c r="J18" i="1"/>
  <c r="L18" i="1"/>
  <c r="L36" i="12"/>
  <c r="N36" i="12"/>
  <c r="L37" i="12"/>
  <c r="N37" i="12"/>
  <c r="N29" i="12"/>
  <c r="N31" i="12"/>
  <c r="S10" i="12"/>
  <c r="U10" i="12"/>
  <c r="J26" i="1"/>
  <c r="L26" i="1" s="1"/>
  <c r="H27" i="11"/>
  <c r="S12" i="12"/>
  <c r="U12" i="12"/>
  <c r="J99" i="1"/>
  <c r="S20" i="12"/>
  <c r="U20" i="12"/>
  <c r="S21" i="12"/>
  <c r="U21" i="12"/>
  <c r="J87" i="1"/>
  <c r="L87" i="1"/>
  <c r="P87" i="1"/>
  <c r="S22" i="12"/>
  <c r="U22" i="12"/>
  <c r="J80" i="1"/>
  <c r="L80" i="1"/>
  <c r="S23" i="12"/>
  <c r="U23" i="12"/>
  <c r="S24" i="12"/>
  <c r="U24" i="12"/>
  <c r="J106" i="1"/>
  <c r="P106" i="1"/>
  <c r="S25" i="12"/>
  <c r="U25" i="12"/>
  <c r="L115" i="1"/>
  <c r="J115" i="1"/>
  <c r="S26" i="12"/>
  <c r="U26" i="12"/>
  <c r="S27" i="12"/>
  <c r="U27" i="12"/>
  <c r="S28" i="12"/>
  <c r="U28" i="12"/>
  <c r="S29" i="12"/>
  <c r="U29" i="12"/>
  <c r="S30" i="12"/>
  <c r="U30" i="12"/>
  <c r="J16" i="1"/>
  <c r="S31" i="12"/>
  <c r="U31" i="12"/>
  <c r="J37" i="1"/>
  <c r="S32" i="12"/>
  <c r="U32" i="12"/>
  <c r="S33" i="12"/>
  <c r="U33" i="12"/>
  <c r="U14" i="12" s="1"/>
  <c r="U16" i="12" s="1"/>
  <c r="Q84" i="8"/>
  <c r="R17" i="8"/>
  <c r="R84" i="8"/>
  <c r="T17" i="8"/>
  <c r="T84" i="8"/>
  <c r="Q85" i="8"/>
  <c r="R85" i="8"/>
  <c r="T18" i="8"/>
  <c r="T85" i="8"/>
  <c r="P85" i="8"/>
  <c r="P76" i="8"/>
  <c r="Q76" i="8"/>
  <c r="R9" i="8"/>
  <c r="R76" i="8"/>
  <c r="T9" i="8"/>
  <c r="T76" i="8"/>
  <c r="P77" i="8"/>
  <c r="Q77" i="8"/>
  <c r="R10" i="8"/>
  <c r="R77" i="8"/>
  <c r="S77" i="8"/>
  <c r="T10" i="8"/>
  <c r="T77" i="8"/>
  <c r="P78" i="8"/>
  <c r="Q78" i="8"/>
  <c r="R11" i="8"/>
  <c r="R78" i="8"/>
  <c r="T11" i="8"/>
  <c r="T78" i="8"/>
  <c r="P79" i="8"/>
  <c r="Q79" i="8"/>
  <c r="R12" i="8"/>
  <c r="R79" i="8"/>
  <c r="S79" i="8"/>
  <c r="T12" i="8"/>
  <c r="T79" i="8"/>
  <c r="P80" i="8"/>
  <c r="Q80" i="8"/>
  <c r="R13" i="8"/>
  <c r="R80" i="8"/>
  <c r="T13" i="8"/>
  <c r="T80" i="8"/>
  <c r="P81" i="8"/>
  <c r="Q81" i="8"/>
  <c r="R14" i="8"/>
  <c r="R81" i="8"/>
  <c r="S81" i="8"/>
  <c r="T14" i="8"/>
  <c r="T81" i="8"/>
  <c r="P82" i="8"/>
  <c r="Q82" i="8"/>
  <c r="R15" i="8"/>
  <c r="R82" i="8"/>
  <c r="S82" i="8"/>
  <c r="T15" i="8"/>
  <c r="T82" i="8"/>
  <c r="P83" i="8"/>
  <c r="Q83" i="8"/>
  <c r="R16" i="8"/>
  <c r="R83" i="8"/>
  <c r="S83" i="8"/>
  <c r="T16" i="8"/>
  <c r="T83" i="8"/>
  <c r="P84" i="8"/>
  <c r="Q75" i="8"/>
  <c r="S75" i="8"/>
  <c r="T8" i="8"/>
  <c r="T75" i="8"/>
  <c r="P75" i="8"/>
  <c r="J44" i="1"/>
  <c r="L44" i="1" s="1"/>
  <c r="H16" i="11"/>
  <c r="E8" i="10"/>
  <c r="G8" i="10"/>
  <c r="L14" i="5"/>
  <c r="S41" i="12"/>
  <c r="J82" i="1"/>
  <c r="L82" i="1" s="1"/>
  <c r="S42" i="12" s="1"/>
  <c r="U42" i="12" s="1"/>
  <c r="U35" i="12" s="1"/>
  <c r="U37" i="12" s="1"/>
  <c r="L100" i="1"/>
  <c r="S45" i="12"/>
  <c r="J116" i="1"/>
  <c r="P116" i="1"/>
  <c r="S44" i="12"/>
  <c r="H29" i="11"/>
  <c r="E17" i="10"/>
  <c r="H28" i="11"/>
  <c r="E16" i="10"/>
  <c r="E45" i="12"/>
  <c r="J100" i="1"/>
  <c r="E43" i="12"/>
  <c r="L46" i="12"/>
  <c r="L48" i="12"/>
  <c r="J103" i="1"/>
  <c r="L47" i="12"/>
  <c r="Q171" i="4"/>
  <c r="Q170" i="4"/>
  <c r="J171" i="4"/>
  <c r="J170" i="4"/>
  <c r="C171" i="4"/>
  <c r="C170" i="4"/>
  <c r="T171" i="4"/>
  <c r="M171" i="4"/>
  <c r="F171" i="4"/>
  <c r="E152" i="4"/>
  <c r="L152" i="4"/>
  <c r="S152" i="4"/>
  <c r="T153" i="4"/>
  <c r="M153" i="4"/>
  <c r="J4" i="1"/>
  <c r="L4" i="1"/>
  <c r="E47" i="4" s="1"/>
  <c r="J7" i="1"/>
  <c r="L7" i="1" s="1"/>
  <c r="E46" i="4" s="1"/>
  <c r="J5" i="1"/>
  <c r="L5" i="1" s="1"/>
  <c r="E44" i="4" s="1"/>
  <c r="J11" i="1"/>
  <c r="L11" i="1"/>
  <c r="E48" i="4" s="1"/>
  <c r="C16" i="6"/>
  <c r="Q34" i="7"/>
  <c r="J38" i="7"/>
  <c r="C15" i="6"/>
  <c r="Q33" i="7"/>
  <c r="J37" i="7"/>
  <c r="E19" i="6"/>
  <c r="E15" i="6"/>
  <c r="J16" i="6"/>
  <c r="J15" i="6"/>
  <c r="C9" i="8"/>
  <c r="C8" i="8"/>
  <c r="E11" i="4"/>
  <c r="J73" i="1"/>
  <c r="J117" i="1"/>
  <c r="L83" i="10"/>
  <c r="J74" i="1"/>
  <c r="L82" i="10"/>
  <c r="J120" i="1"/>
  <c r="L81" i="10"/>
  <c r="L80" i="10"/>
  <c r="J48" i="1"/>
  <c r="L48" i="1"/>
  <c r="P48" i="1"/>
  <c r="J9" i="1"/>
  <c r="L9" i="1"/>
  <c r="J15" i="1"/>
  <c r="L15" i="1"/>
  <c r="L6" i="1"/>
  <c r="E170" i="4"/>
  <c r="J95" i="1"/>
  <c r="L45" i="12" s="1"/>
  <c r="N45" i="12" s="1"/>
  <c r="N39" i="12" s="1"/>
  <c r="N41" i="12" s="1"/>
  <c r="M49" i="12"/>
  <c r="N48" i="12"/>
  <c r="M48" i="12"/>
  <c r="N47" i="12"/>
  <c r="M47" i="12"/>
  <c r="N46" i="12"/>
  <c r="M46" i="12"/>
  <c r="M45" i="12"/>
  <c r="L13" i="12"/>
  <c r="L12" i="12"/>
  <c r="J119" i="1"/>
  <c r="P119" i="1"/>
  <c r="P117" i="1"/>
  <c r="E34" i="12"/>
  <c r="E33" i="12"/>
  <c r="J114" i="1"/>
  <c r="L114" i="1"/>
  <c r="P114" i="1"/>
  <c r="J104" i="1"/>
  <c r="L104" i="1"/>
  <c r="P104" i="1"/>
  <c r="E32" i="12"/>
  <c r="J107" i="1"/>
  <c r="L107" i="1"/>
  <c r="P107" i="1"/>
  <c r="E31" i="12"/>
  <c r="J111" i="1"/>
  <c r="L111" i="1"/>
  <c r="P111" i="1"/>
  <c r="S43" i="12"/>
  <c r="L11" i="12"/>
  <c r="J30" i="1"/>
  <c r="L30" i="1"/>
  <c r="S52" i="7"/>
  <c r="J23" i="1"/>
  <c r="L23" i="1" s="1"/>
  <c r="J43" i="1"/>
  <c r="L43" i="1"/>
  <c r="E124" i="5"/>
  <c r="E71" i="7"/>
  <c r="J41" i="1"/>
  <c r="E13" i="7"/>
  <c r="S34" i="6"/>
  <c r="N68" i="1"/>
  <c r="J68" i="1"/>
  <c r="L68" i="1" s="1"/>
  <c r="P68" i="1" s="1"/>
  <c r="S57" i="8" s="1"/>
  <c r="J54" i="1"/>
  <c r="E42" i="12" s="1"/>
  <c r="G42" i="12" s="1"/>
  <c r="G36" i="12" s="1"/>
  <c r="G38" i="12" s="1"/>
  <c r="F45" i="12"/>
  <c r="G45" i="12"/>
  <c r="F44" i="12"/>
  <c r="F43" i="12"/>
  <c r="G43" i="12"/>
  <c r="F42" i="12"/>
  <c r="E20" i="6"/>
  <c r="K247" i="4"/>
  <c r="R247" i="4"/>
  <c r="L211" i="4"/>
  <c r="S211" i="4"/>
  <c r="L170" i="4"/>
  <c r="S170" i="4"/>
  <c r="R109" i="4"/>
  <c r="R125" i="4"/>
  <c r="R141" i="4"/>
  <c r="Q109" i="4"/>
  <c r="Q125" i="4"/>
  <c r="Q141" i="4"/>
  <c r="K109" i="4"/>
  <c r="K125" i="4"/>
  <c r="K141" i="4"/>
  <c r="J109" i="4"/>
  <c r="J125" i="4"/>
  <c r="J141" i="4"/>
  <c r="D109" i="4"/>
  <c r="D125" i="4"/>
  <c r="D141" i="4"/>
  <c r="C109" i="4"/>
  <c r="C125" i="4"/>
  <c r="C141" i="4"/>
  <c r="C76" i="4"/>
  <c r="L11" i="4"/>
  <c r="S11" i="4"/>
  <c r="F49" i="9"/>
  <c r="F48" i="9"/>
  <c r="F47" i="9"/>
  <c r="C24" i="10"/>
  <c r="C14" i="10"/>
  <c r="C23" i="10"/>
  <c r="E27" i="10"/>
  <c r="E26" i="10"/>
  <c r="F41" i="9"/>
  <c r="F40" i="9"/>
  <c r="F39" i="9"/>
  <c r="F33" i="9"/>
  <c r="F32" i="9"/>
  <c r="F31" i="9"/>
  <c r="E44" i="12"/>
  <c r="G44" i="12"/>
  <c r="L49" i="12"/>
  <c r="N49" i="12"/>
  <c r="E30" i="12"/>
  <c r="L101" i="1"/>
  <c r="J101" i="1"/>
  <c r="E28" i="12"/>
  <c r="J89" i="1"/>
  <c r="L89" i="1"/>
  <c r="J72" i="1"/>
  <c r="E27" i="12"/>
  <c r="E14" i="5"/>
  <c r="J33" i="1"/>
  <c r="L33" i="1"/>
  <c r="J32" i="1"/>
  <c r="L32" i="1"/>
  <c r="J36" i="1"/>
  <c r="L36" i="1"/>
  <c r="J97" i="1"/>
  <c r="H19" i="11"/>
  <c r="H14" i="11"/>
  <c r="J38" i="1"/>
  <c r="J53" i="1"/>
  <c r="L53" i="1"/>
  <c r="S21" i="6" s="1"/>
  <c r="U21" i="6" s="1"/>
  <c r="J27" i="1"/>
  <c r="L27" i="1"/>
  <c r="E12" i="6"/>
  <c r="S27" i="8"/>
  <c r="E155" i="4"/>
  <c r="L155" i="4"/>
  <c r="S155" i="4"/>
  <c r="E213" i="4"/>
  <c r="L213" i="4"/>
  <c r="S213" i="4"/>
  <c r="J93" i="1"/>
  <c r="L93" i="1"/>
  <c r="E39" i="9"/>
  <c r="G39" i="9"/>
  <c r="H24" i="11"/>
  <c r="E8" i="9"/>
  <c r="E16" i="9"/>
  <c r="E24" i="9"/>
  <c r="E32" i="9"/>
  <c r="H23" i="11"/>
  <c r="E9" i="9"/>
  <c r="E17" i="9"/>
  <c r="E25" i="9"/>
  <c r="E33" i="9"/>
  <c r="L16" i="9"/>
  <c r="L24" i="9"/>
  <c r="L17" i="9"/>
  <c r="L25" i="9"/>
  <c r="H6" i="11"/>
  <c r="J6" i="11"/>
  <c r="H7" i="11"/>
  <c r="J7" i="11"/>
  <c r="E13" i="5"/>
  <c r="H17" i="11"/>
  <c r="H15" i="11"/>
  <c r="E199" i="4"/>
  <c r="L199" i="4"/>
  <c r="S199" i="4"/>
  <c r="J51" i="1"/>
  <c r="L51" i="1"/>
  <c r="J42" i="1"/>
  <c r="L42" i="1"/>
  <c r="J58" i="1"/>
  <c r="L41" i="1"/>
  <c r="J94" i="1"/>
  <c r="E47" i="9"/>
  <c r="G47" i="9"/>
  <c r="J76" i="1"/>
  <c r="L76" i="1"/>
  <c r="J63" i="1"/>
  <c r="E25" i="12" s="1"/>
  <c r="G25" i="12" s="1"/>
  <c r="J79" i="1"/>
  <c r="L79" i="1"/>
  <c r="L63" i="4"/>
  <c r="L29" i="1"/>
  <c r="J8" i="1"/>
  <c r="L8" i="1" s="1"/>
  <c r="J28" i="1"/>
  <c r="L28" i="1"/>
  <c r="J21" i="1"/>
  <c r="L21" i="1" s="1"/>
  <c r="E46" i="10"/>
  <c r="L46" i="10"/>
  <c r="L55" i="10"/>
  <c r="L64" i="10"/>
  <c r="L73" i="10"/>
  <c r="E96" i="10"/>
  <c r="G32" i="9"/>
  <c r="E40" i="9"/>
  <c r="L10" i="10"/>
  <c r="L19" i="10"/>
  <c r="L28" i="10"/>
  <c r="L37" i="10"/>
  <c r="E36" i="10"/>
  <c r="E54" i="10"/>
  <c r="E62" i="10"/>
  <c r="E70" i="10"/>
  <c r="G33" i="9"/>
  <c r="E41" i="9"/>
  <c r="E13" i="6"/>
  <c r="J52" i="1"/>
  <c r="L76" i="4"/>
  <c r="N76" i="4" s="1"/>
  <c r="J46" i="1"/>
  <c r="L46" i="1"/>
  <c r="E84" i="10"/>
  <c r="J66" i="1"/>
  <c r="L66" i="1" s="1"/>
  <c r="L95" i="1"/>
  <c r="L24" i="8"/>
  <c r="S33" i="6" s="1"/>
  <c r="F156" i="6"/>
  <c r="F157" i="6"/>
  <c r="F158" i="6"/>
  <c r="G156" i="6"/>
  <c r="L156" i="6"/>
  <c r="N156" i="6"/>
  <c r="M156" i="6"/>
  <c r="M157" i="6"/>
  <c r="E161" i="6"/>
  <c r="L161" i="6"/>
  <c r="E162" i="6"/>
  <c r="L162" i="6"/>
  <c r="E164" i="6"/>
  <c r="L164" i="6"/>
  <c r="E168" i="6"/>
  <c r="L168" i="6"/>
  <c r="E169" i="6"/>
  <c r="L169" i="6"/>
  <c r="L159" i="6"/>
  <c r="E141" i="6"/>
  <c r="L141" i="6"/>
  <c r="E142" i="6"/>
  <c r="L142" i="6"/>
  <c r="E144" i="6"/>
  <c r="L144" i="6"/>
  <c r="E148" i="6"/>
  <c r="L148" i="6"/>
  <c r="E149" i="6"/>
  <c r="L149" i="6"/>
  <c r="E14" i="6"/>
  <c r="L14" i="6"/>
  <c r="Q61" i="6"/>
  <c r="J121" i="1"/>
  <c r="L121" i="1" s="1"/>
  <c r="S20" i="6" s="1"/>
  <c r="U20" i="6" s="1"/>
  <c r="J122" i="1"/>
  <c r="L122" i="1" s="1"/>
  <c r="S19" i="6" s="1"/>
  <c r="U19" i="6" s="1"/>
  <c r="L12" i="6"/>
  <c r="L13" i="6"/>
  <c r="L15" i="6"/>
  <c r="L19" i="6"/>
  <c r="L20" i="6"/>
  <c r="L80" i="8"/>
  <c r="L81" i="8"/>
  <c r="N81" i="8"/>
  <c r="L82" i="8"/>
  <c r="N82" i="8"/>
  <c r="J74" i="8"/>
  <c r="L73" i="8"/>
  <c r="E12" i="8"/>
  <c r="L78" i="8"/>
  <c r="J78" i="8"/>
  <c r="N78" i="8"/>
  <c r="S31" i="5"/>
  <c r="S61" i="5"/>
  <c r="S32" i="5"/>
  <c r="S62" i="5"/>
  <c r="J92" i="1"/>
  <c r="L92" i="1" s="1"/>
  <c r="E41" i="4"/>
  <c r="S73" i="4" s="1"/>
  <c r="U73" i="4" s="1"/>
  <c r="L55" i="1"/>
  <c r="E40" i="4"/>
  <c r="S72" i="4"/>
  <c r="S83" i="4"/>
  <c r="S84" i="4"/>
  <c r="S51" i="4"/>
  <c r="S52" i="4"/>
  <c r="L51" i="4"/>
  <c r="L52" i="4"/>
  <c r="L62" i="10"/>
  <c r="L26" i="10"/>
  <c r="L44" i="10"/>
  <c r="J83" i="1"/>
  <c r="L83" i="1"/>
  <c r="H12" i="11"/>
  <c r="J12" i="11"/>
  <c r="P89" i="1"/>
  <c r="J85" i="1"/>
  <c r="L85" i="1"/>
  <c r="P85" i="1"/>
  <c r="J75" i="1"/>
  <c r="H9" i="11"/>
  <c r="L10" i="4"/>
  <c r="H10" i="11"/>
  <c r="E10" i="4"/>
  <c r="J98" i="1"/>
  <c r="L98" i="1"/>
  <c r="L53" i="10"/>
  <c r="J78" i="1"/>
  <c r="L78" i="1" s="1"/>
  <c r="J39" i="1"/>
  <c r="L39" i="1"/>
  <c r="J34" i="1"/>
  <c r="J69" i="1"/>
  <c r="L69" i="1" s="1"/>
  <c r="E32" i="4" s="1"/>
  <c r="L58" i="1"/>
  <c r="S10" i="6" s="1"/>
  <c r="U10" i="6" s="1"/>
  <c r="L12" i="1"/>
  <c r="E208" i="4" s="1"/>
  <c r="J6" i="1"/>
  <c r="J45" i="1"/>
  <c r="L45" i="1"/>
  <c r="E76" i="10" s="1"/>
  <c r="G76" i="10" s="1"/>
  <c r="G72" i="10" s="1"/>
  <c r="J35" i="1"/>
  <c r="L35" i="1"/>
  <c r="L10" i="1"/>
  <c r="J10" i="1"/>
  <c r="J67" i="1"/>
  <c r="L67" i="1" s="1"/>
  <c r="E29" i="4" s="1"/>
  <c r="C12" i="7"/>
  <c r="C11" i="7"/>
  <c r="C10" i="7"/>
  <c r="C9" i="7"/>
  <c r="Q49" i="7"/>
  <c r="Q35" i="7"/>
  <c r="Q50" i="7"/>
  <c r="Q36" i="7"/>
  <c r="Q51" i="7"/>
  <c r="Q48" i="7"/>
  <c r="J162" i="6"/>
  <c r="J163" i="6"/>
  <c r="J164" i="6"/>
  <c r="J165" i="6"/>
  <c r="J167" i="6"/>
  <c r="J168" i="6"/>
  <c r="J161" i="6"/>
  <c r="J142" i="6"/>
  <c r="J143" i="6"/>
  <c r="J144" i="6"/>
  <c r="J145" i="6"/>
  <c r="J146" i="6"/>
  <c r="J147" i="6"/>
  <c r="J148" i="6"/>
  <c r="J141" i="6"/>
  <c r="C162" i="6"/>
  <c r="C163" i="6"/>
  <c r="C164" i="6"/>
  <c r="C165" i="6"/>
  <c r="C167" i="6"/>
  <c r="C168" i="6"/>
  <c r="C161" i="6"/>
  <c r="C148" i="6"/>
  <c r="C142" i="6"/>
  <c r="C143" i="6"/>
  <c r="C144" i="6"/>
  <c r="C145" i="6"/>
  <c r="C146" i="6"/>
  <c r="C147" i="6"/>
  <c r="C141" i="6"/>
  <c r="J79" i="8"/>
  <c r="J77" i="8"/>
  <c r="J76" i="8"/>
  <c r="J73" i="8"/>
  <c r="J23" i="8"/>
  <c r="M82" i="8"/>
  <c r="M81" i="8"/>
  <c r="N80" i="8"/>
  <c r="M80" i="8"/>
  <c r="M79" i="8"/>
  <c r="M78" i="8"/>
  <c r="M77" i="8"/>
  <c r="M76" i="8"/>
  <c r="M74" i="8"/>
  <c r="M73" i="8"/>
  <c r="Q33" i="8"/>
  <c r="Q32" i="8"/>
  <c r="Q31" i="8"/>
  <c r="N73" i="8"/>
  <c r="E48" i="9"/>
  <c r="G48" i="9"/>
  <c r="G40" i="9"/>
  <c r="E86" i="10"/>
  <c r="L84" i="10"/>
  <c r="E78" i="10"/>
  <c r="L13" i="5"/>
  <c r="S10" i="4"/>
  <c r="G41" i="9"/>
  <c r="E49" i="9"/>
  <c r="G49" i="9"/>
  <c r="L37" i="1"/>
  <c r="E11" i="6"/>
  <c r="E140" i="6"/>
  <c r="L140" i="6"/>
  <c r="S49" i="6"/>
  <c r="E225" i="4"/>
  <c r="E70" i="5"/>
  <c r="L70" i="5"/>
  <c r="E157" i="6"/>
  <c r="G157" i="6"/>
  <c r="E248" i="4"/>
  <c r="L248" i="4"/>
  <c r="S248" i="4"/>
  <c r="E31" i="9"/>
  <c r="G31" i="9"/>
  <c r="G27" i="9"/>
  <c r="E35" i="10"/>
  <c r="E44" i="10"/>
  <c r="E42" i="4"/>
  <c r="L42" i="4"/>
  <c r="E11" i="8"/>
  <c r="L77" i="8"/>
  <c r="N77" i="8" s="1"/>
  <c r="E158" i="6"/>
  <c r="L158" i="6"/>
  <c r="E50" i="4"/>
  <c r="S82" i="4" s="1"/>
  <c r="U82" i="4" s="1"/>
  <c r="L50" i="4"/>
  <c r="L212" i="4" s="1"/>
  <c r="N212" i="4" s="1"/>
  <c r="L8" i="10"/>
  <c r="N8" i="10" s="1"/>
  <c r="E67" i="5"/>
  <c r="L67" i="5"/>
  <c r="E195" i="4"/>
  <c r="E45" i="4"/>
  <c r="S77" i="4"/>
  <c r="E143" i="6"/>
  <c r="L143" i="6"/>
  <c r="E163" i="6"/>
  <c r="L163" i="6"/>
  <c r="L40" i="4"/>
  <c r="S40" i="4"/>
  <c r="L17" i="10"/>
  <c r="E160" i="6"/>
  <c r="L160" i="6"/>
  <c r="L71" i="1"/>
  <c r="J13" i="1"/>
  <c r="L13" i="1" s="1"/>
  <c r="J123" i="1"/>
  <c r="L123" i="1" s="1"/>
  <c r="S18" i="6" s="1"/>
  <c r="U18" i="6" s="1"/>
  <c r="J49" i="1"/>
  <c r="L49" i="1"/>
  <c r="P49" i="1"/>
  <c r="E52" i="10"/>
  <c r="J47" i="1"/>
  <c r="L47" i="1"/>
  <c r="P47" i="1"/>
  <c r="E60" i="10"/>
  <c r="P43" i="1"/>
  <c r="J61" i="1"/>
  <c r="L61" i="1" s="1"/>
  <c r="P61" i="1" s="1"/>
  <c r="J62" i="1"/>
  <c r="L62" i="1"/>
  <c r="P62" i="1" s="1"/>
  <c r="E8" i="7" s="1"/>
  <c r="G8" i="7" s="1"/>
  <c r="J65" i="1"/>
  <c r="L65" i="1" s="1"/>
  <c r="E28" i="4" s="1"/>
  <c r="J50" i="1"/>
  <c r="L50" i="1" s="1"/>
  <c r="E68" i="10" s="1"/>
  <c r="G68" i="10" s="1"/>
  <c r="G64" i="10" s="1"/>
  <c r="J25" i="1"/>
  <c r="L25" i="1" s="1"/>
  <c r="P25" i="1" s="1"/>
  <c r="L24" i="1"/>
  <c r="P24" i="1" s="1"/>
  <c r="P90" i="1"/>
  <c r="J56" i="1"/>
  <c r="L56" i="1" s="1"/>
  <c r="J31" i="1"/>
  <c r="J40" i="1"/>
  <c r="S67" i="7"/>
  <c r="Q64" i="7"/>
  <c r="Q65" i="7"/>
  <c r="Q66" i="7"/>
  <c r="Q67" i="7"/>
  <c r="U67" i="7"/>
  <c r="Q63" i="7"/>
  <c r="Q62" i="7"/>
  <c r="U52" i="7"/>
  <c r="Q37" i="7"/>
  <c r="Q22" i="7"/>
  <c r="Q23" i="7"/>
  <c r="Q21" i="7"/>
  <c r="Q10" i="7"/>
  <c r="Q11" i="7"/>
  <c r="Q9" i="7"/>
  <c r="G71" i="7"/>
  <c r="L124" i="5"/>
  <c r="F76" i="7"/>
  <c r="F75" i="7"/>
  <c r="F74" i="7"/>
  <c r="F73" i="7"/>
  <c r="F72" i="7"/>
  <c r="F71" i="7"/>
  <c r="F70" i="7"/>
  <c r="C70" i="7"/>
  <c r="T69" i="7"/>
  <c r="T68" i="7"/>
  <c r="T67" i="7"/>
  <c r="T66" i="7"/>
  <c r="T65" i="7"/>
  <c r="T64" i="7"/>
  <c r="T63" i="7"/>
  <c r="T62" i="7"/>
  <c r="T61" i="7"/>
  <c r="T60" i="7"/>
  <c r="Q60" i="7"/>
  <c r="T54" i="7"/>
  <c r="T53" i="7"/>
  <c r="T52" i="7"/>
  <c r="T51" i="7"/>
  <c r="T50" i="7"/>
  <c r="T49" i="7"/>
  <c r="T48" i="7"/>
  <c r="T47" i="7"/>
  <c r="T46" i="7"/>
  <c r="T45" i="7"/>
  <c r="Q45" i="7"/>
  <c r="T39" i="7"/>
  <c r="T38" i="7"/>
  <c r="T37" i="7"/>
  <c r="T36" i="7"/>
  <c r="T35" i="7"/>
  <c r="T34" i="7"/>
  <c r="T33" i="7"/>
  <c r="T32" i="7"/>
  <c r="T31" i="7"/>
  <c r="Q31" i="7"/>
  <c r="T25" i="7"/>
  <c r="T24" i="7"/>
  <c r="T23" i="7"/>
  <c r="T22" i="7"/>
  <c r="T21" i="7"/>
  <c r="T20" i="7"/>
  <c r="T19" i="7"/>
  <c r="Q19" i="7"/>
  <c r="F64" i="7"/>
  <c r="F63" i="7"/>
  <c r="F62" i="7"/>
  <c r="F61" i="7"/>
  <c r="F60" i="7"/>
  <c r="F59" i="7"/>
  <c r="C59" i="7"/>
  <c r="T13" i="7"/>
  <c r="T12" i="7"/>
  <c r="T11" i="7"/>
  <c r="T10" i="7"/>
  <c r="T9" i="7"/>
  <c r="T8" i="7"/>
  <c r="T7" i="7"/>
  <c r="Q7" i="7"/>
  <c r="F53" i="7"/>
  <c r="F52" i="7"/>
  <c r="F51" i="7"/>
  <c r="F50" i="7"/>
  <c r="F49" i="7"/>
  <c r="F48" i="7"/>
  <c r="C48" i="7"/>
  <c r="F42" i="7"/>
  <c r="F41" i="7"/>
  <c r="F40" i="7"/>
  <c r="F39" i="7"/>
  <c r="F38" i="7"/>
  <c r="F37" i="7"/>
  <c r="F36" i="7"/>
  <c r="C36" i="7"/>
  <c r="J65" i="7"/>
  <c r="J68" i="7"/>
  <c r="J78" i="7"/>
  <c r="J79" i="7"/>
  <c r="J80" i="7"/>
  <c r="J77" i="7"/>
  <c r="J64" i="7"/>
  <c r="J63" i="7"/>
  <c r="J52" i="7"/>
  <c r="J66" i="7"/>
  <c r="J51" i="7"/>
  <c r="M83" i="7"/>
  <c r="J83" i="7"/>
  <c r="M82" i="7"/>
  <c r="M81" i="7"/>
  <c r="M80" i="7"/>
  <c r="M79" i="7"/>
  <c r="M78" i="7"/>
  <c r="M77" i="7"/>
  <c r="M76" i="7"/>
  <c r="M75" i="7"/>
  <c r="M74" i="7"/>
  <c r="J74" i="7"/>
  <c r="M68" i="7"/>
  <c r="M67" i="7"/>
  <c r="M66" i="7"/>
  <c r="M65" i="7"/>
  <c r="M64" i="7"/>
  <c r="M63" i="7"/>
  <c r="M62" i="7"/>
  <c r="M61" i="7"/>
  <c r="M60" i="7"/>
  <c r="J60" i="7"/>
  <c r="M54" i="7"/>
  <c r="M53" i="7"/>
  <c r="M52" i="7"/>
  <c r="M51" i="7"/>
  <c r="M50" i="7"/>
  <c r="M49" i="7"/>
  <c r="M48" i="7"/>
  <c r="J48" i="7"/>
  <c r="G158" i="6"/>
  <c r="L157" i="6"/>
  <c r="N157" i="6"/>
  <c r="S22" i="5"/>
  <c r="S52" i="5"/>
  <c r="G35" i="9"/>
  <c r="E34" i="10"/>
  <c r="E43" i="10"/>
  <c r="G43" i="9"/>
  <c r="E69" i="10"/>
  <c r="E85" i="10"/>
  <c r="S74" i="4"/>
  <c r="L45" i="4"/>
  <c r="L11" i="6"/>
  <c r="S25" i="5"/>
  <c r="S55" i="5"/>
  <c r="S45" i="4"/>
  <c r="L195" i="4"/>
  <c r="S195" i="4" s="1"/>
  <c r="U195" i="4" s="1"/>
  <c r="E198" i="4"/>
  <c r="L198" i="4"/>
  <c r="S198" i="4" s="1"/>
  <c r="U198" i="4" s="1"/>
  <c r="E237" i="4"/>
  <c r="L225" i="4"/>
  <c r="S42" i="4"/>
  <c r="S50" i="4"/>
  <c r="P71" i="1"/>
  <c r="E57" i="8" s="1"/>
  <c r="G57" i="8" s="1"/>
  <c r="S9" i="6"/>
  <c r="L31" i="1"/>
  <c r="L63" i="10"/>
  <c r="L27" i="10"/>
  <c r="L9" i="10"/>
  <c r="L36" i="10"/>
  <c r="L54" i="10"/>
  <c r="L18" i="10"/>
  <c r="L45" i="10"/>
  <c r="L72" i="10"/>
  <c r="E17" i="6"/>
  <c r="E11" i="7"/>
  <c r="E26" i="7"/>
  <c r="E10" i="8"/>
  <c r="L76" i="8"/>
  <c r="N76" i="8"/>
  <c r="E43" i="4"/>
  <c r="L40" i="1"/>
  <c r="E77" i="10"/>
  <c r="E13" i="8"/>
  <c r="G13" i="8" s="1"/>
  <c r="L79" i="8"/>
  <c r="N79" i="8" s="1"/>
  <c r="E38" i="4"/>
  <c r="S38" i="4" s="1"/>
  <c r="E109" i="4"/>
  <c r="L9" i="12"/>
  <c r="L10" i="12"/>
  <c r="N10" i="12" s="1"/>
  <c r="E15" i="10"/>
  <c r="E24" i="10"/>
  <c r="G24" i="10" s="1"/>
  <c r="J42" i="7"/>
  <c r="M39" i="7"/>
  <c r="M42" i="7"/>
  <c r="M41" i="7"/>
  <c r="M40" i="7"/>
  <c r="M38" i="7"/>
  <c r="M37" i="7"/>
  <c r="M36" i="7"/>
  <c r="M35" i="7"/>
  <c r="M34" i="7"/>
  <c r="M33" i="7"/>
  <c r="J33" i="7"/>
  <c r="L23" i="7"/>
  <c r="L64" i="7"/>
  <c r="N64" i="7"/>
  <c r="M24" i="7"/>
  <c r="M23" i="7"/>
  <c r="J27" i="7"/>
  <c r="J25" i="7"/>
  <c r="M27" i="7"/>
  <c r="M26" i="7"/>
  <c r="M25" i="7"/>
  <c r="M22" i="7"/>
  <c r="M21" i="7"/>
  <c r="M20" i="7"/>
  <c r="M19" i="7"/>
  <c r="J19" i="7"/>
  <c r="M13" i="7"/>
  <c r="M12" i="7"/>
  <c r="M11" i="7"/>
  <c r="M10" i="7"/>
  <c r="M9" i="7"/>
  <c r="M8" i="7"/>
  <c r="M7" i="7"/>
  <c r="J7" i="7"/>
  <c r="F23" i="7"/>
  <c r="E28" i="7"/>
  <c r="C25" i="7"/>
  <c r="C26" i="7"/>
  <c r="C27" i="7"/>
  <c r="C24" i="7"/>
  <c r="F30" i="7"/>
  <c r="F29" i="7"/>
  <c r="F28" i="7"/>
  <c r="F27" i="7"/>
  <c r="F26" i="7"/>
  <c r="F25" i="7"/>
  <c r="F24" i="7"/>
  <c r="F22" i="7"/>
  <c r="F21" i="7"/>
  <c r="C21" i="7"/>
  <c r="G13" i="7"/>
  <c r="F13" i="7"/>
  <c r="C14" i="7"/>
  <c r="E15" i="7"/>
  <c r="G15" i="7"/>
  <c r="E14" i="7"/>
  <c r="E9" i="7"/>
  <c r="F15" i="7"/>
  <c r="F14" i="7"/>
  <c r="F12" i="7"/>
  <c r="F11" i="7"/>
  <c r="F10" i="7"/>
  <c r="F9" i="7"/>
  <c r="F8" i="7"/>
  <c r="F7" i="7"/>
  <c r="C7" i="7"/>
  <c r="Q91" i="6"/>
  <c r="Q107" i="6"/>
  <c r="T116" i="6"/>
  <c r="T115" i="6"/>
  <c r="T114" i="6"/>
  <c r="T113" i="6"/>
  <c r="T112" i="6"/>
  <c r="T111" i="6"/>
  <c r="T110" i="6"/>
  <c r="T109" i="6"/>
  <c r="T108" i="6"/>
  <c r="T107" i="6"/>
  <c r="T106" i="6"/>
  <c r="Q100" i="6"/>
  <c r="T100" i="6"/>
  <c r="Q92" i="6"/>
  <c r="Q108" i="6"/>
  <c r="Q93" i="6"/>
  <c r="Q109" i="6"/>
  <c r="Q94" i="6"/>
  <c r="Q110" i="6"/>
  <c r="Q95" i="6"/>
  <c r="Q111" i="6"/>
  <c r="Q96" i="6"/>
  <c r="Q112" i="6"/>
  <c r="Q97" i="6"/>
  <c r="Q113" i="6"/>
  <c r="T99" i="6"/>
  <c r="T98" i="6"/>
  <c r="T97" i="6"/>
  <c r="T96" i="6"/>
  <c r="T95" i="6"/>
  <c r="T94" i="6"/>
  <c r="T93" i="6"/>
  <c r="T92" i="6"/>
  <c r="T91" i="6"/>
  <c r="T90" i="6"/>
  <c r="S79" i="6"/>
  <c r="S94" i="6"/>
  <c r="S76" i="6"/>
  <c r="U76" i="6"/>
  <c r="S84" i="6"/>
  <c r="S99" i="6"/>
  <c r="S115" i="6"/>
  <c r="S83" i="6"/>
  <c r="S98" i="6"/>
  <c r="S114" i="6"/>
  <c r="Q84" i="6"/>
  <c r="Q83" i="6"/>
  <c r="Q98" i="6"/>
  <c r="Q114" i="6"/>
  <c r="T76" i="6"/>
  <c r="T77" i="6"/>
  <c r="T78" i="6"/>
  <c r="T79" i="6"/>
  <c r="T80" i="6"/>
  <c r="T81" i="6"/>
  <c r="T82" i="6"/>
  <c r="T83" i="6"/>
  <c r="T84" i="6"/>
  <c r="T75" i="6"/>
  <c r="S68" i="6"/>
  <c r="S69" i="6"/>
  <c r="S64" i="6"/>
  <c r="Q66" i="6"/>
  <c r="Q67" i="6"/>
  <c r="Q68" i="6"/>
  <c r="Q69" i="6"/>
  <c r="T69" i="6"/>
  <c r="T68" i="6"/>
  <c r="T67" i="6"/>
  <c r="T66" i="6"/>
  <c r="T65" i="6"/>
  <c r="T64" i="6"/>
  <c r="T63" i="6"/>
  <c r="T62" i="6"/>
  <c r="T61" i="6"/>
  <c r="S54" i="6"/>
  <c r="S55" i="6"/>
  <c r="S50" i="6"/>
  <c r="Q51" i="6"/>
  <c r="Q52" i="6"/>
  <c r="Q53" i="6"/>
  <c r="Q54" i="6"/>
  <c r="Q55" i="6"/>
  <c r="Q50" i="6"/>
  <c r="T55" i="6"/>
  <c r="T54" i="6"/>
  <c r="T53" i="6"/>
  <c r="T52" i="6"/>
  <c r="T51" i="6"/>
  <c r="T50" i="6"/>
  <c r="U49" i="6"/>
  <c r="T49" i="6"/>
  <c r="T48" i="6"/>
  <c r="T47" i="6"/>
  <c r="T46" i="6"/>
  <c r="S39" i="6"/>
  <c r="S40" i="6"/>
  <c r="S35" i="6"/>
  <c r="Q36" i="6"/>
  <c r="Q37" i="6"/>
  <c r="Q38" i="6"/>
  <c r="Q39" i="6"/>
  <c r="Q35" i="6"/>
  <c r="T40" i="6"/>
  <c r="U40" i="6"/>
  <c r="T39" i="6"/>
  <c r="T38" i="6"/>
  <c r="T37" i="6"/>
  <c r="T36" i="6"/>
  <c r="T35" i="6"/>
  <c r="T34" i="6"/>
  <c r="U34" i="6"/>
  <c r="T33" i="6"/>
  <c r="T32" i="6"/>
  <c r="T31" i="6"/>
  <c r="U83" i="6"/>
  <c r="L237" i="4"/>
  <c r="S225" i="4"/>
  <c r="S237" i="4"/>
  <c r="L17" i="6"/>
  <c r="L93" i="6"/>
  <c r="E166" i="6"/>
  <c r="L166" i="6"/>
  <c r="N166" i="6"/>
  <c r="E146" i="6"/>
  <c r="L146" i="6"/>
  <c r="N146" i="6"/>
  <c r="S43" i="4"/>
  <c r="S23" i="5"/>
  <c r="S53" i="5"/>
  <c r="S75" i="4"/>
  <c r="L43" i="4"/>
  <c r="L38" i="4"/>
  <c r="L234" i="4" s="1"/>
  <c r="N234" i="4" s="1"/>
  <c r="L109" i="4"/>
  <c r="L125" i="4" s="1"/>
  <c r="L141" i="4" s="1"/>
  <c r="N141" i="4" s="1"/>
  <c r="S70" i="4"/>
  <c r="U70" i="4" s="1"/>
  <c r="U84" i="6"/>
  <c r="U94" i="6"/>
  <c r="S12" i="7"/>
  <c r="S24" i="7"/>
  <c r="U55" i="6"/>
  <c r="S13" i="7"/>
  <c r="U13" i="7"/>
  <c r="S25" i="7"/>
  <c r="U25" i="7"/>
  <c r="U114" i="6"/>
  <c r="G28" i="7"/>
  <c r="S37" i="7"/>
  <c r="U37" i="7"/>
  <c r="G26" i="7"/>
  <c r="S35" i="7"/>
  <c r="U35" i="7"/>
  <c r="S50" i="7"/>
  <c r="C75" i="7"/>
  <c r="C63" i="7"/>
  <c r="C52" i="7"/>
  <c r="Q12" i="7"/>
  <c r="Q24" i="7"/>
  <c r="S110" i="6"/>
  <c r="U110" i="6"/>
  <c r="E29" i="7"/>
  <c r="E41" i="7"/>
  <c r="E63" i="7"/>
  <c r="E75" i="7"/>
  <c r="G75" i="7"/>
  <c r="E52" i="7"/>
  <c r="E30" i="7"/>
  <c r="E64" i="7"/>
  <c r="G64" i="7"/>
  <c r="E53" i="7"/>
  <c r="G53" i="7"/>
  <c r="E42" i="7"/>
  <c r="G42" i="7"/>
  <c r="E76" i="7"/>
  <c r="G76" i="7"/>
  <c r="C29" i="7"/>
  <c r="C41" i="7"/>
  <c r="N23" i="7"/>
  <c r="L13" i="7"/>
  <c r="L10" i="7"/>
  <c r="E38" i="7"/>
  <c r="G38" i="7"/>
  <c r="G9" i="7"/>
  <c r="L37" i="7"/>
  <c r="L12" i="7"/>
  <c r="J12" i="7"/>
  <c r="J53" i="7"/>
  <c r="L40" i="7"/>
  <c r="G11" i="7"/>
  <c r="N10" i="7"/>
  <c r="E24" i="7"/>
  <c r="G14" i="7"/>
  <c r="U79" i="6"/>
  <c r="Q99" i="6"/>
  <c r="S91" i="6"/>
  <c r="U98" i="6"/>
  <c r="U50" i="6"/>
  <c r="U54" i="6"/>
  <c r="U35" i="6"/>
  <c r="U39" i="6"/>
  <c r="D163" i="6"/>
  <c r="F163" i="6"/>
  <c r="K163" i="6"/>
  <c r="M163" i="6"/>
  <c r="N169" i="6"/>
  <c r="M169" i="6"/>
  <c r="G169" i="6"/>
  <c r="F169" i="6"/>
  <c r="N168" i="6"/>
  <c r="M168" i="6"/>
  <c r="G168" i="6"/>
  <c r="F168" i="6"/>
  <c r="M167" i="6"/>
  <c r="F167" i="6"/>
  <c r="M166" i="6"/>
  <c r="F166" i="6"/>
  <c r="M165" i="6"/>
  <c r="F165" i="6"/>
  <c r="N164" i="6"/>
  <c r="M164" i="6"/>
  <c r="G164" i="6"/>
  <c r="F164" i="6"/>
  <c r="N163" i="6"/>
  <c r="G163" i="6"/>
  <c r="N162" i="6"/>
  <c r="M162" i="6"/>
  <c r="G162" i="6"/>
  <c r="F162" i="6"/>
  <c r="N161" i="6"/>
  <c r="M161" i="6"/>
  <c r="G161" i="6"/>
  <c r="F161" i="6"/>
  <c r="N160" i="6"/>
  <c r="M160" i="6"/>
  <c r="G160" i="6"/>
  <c r="F160" i="6"/>
  <c r="N159" i="6"/>
  <c r="M159" i="6"/>
  <c r="G159" i="6"/>
  <c r="F159" i="6"/>
  <c r="N158" i="6"/>
  <c r="M158" i="6"/>
  <c r="M155" i="6"/>
  <c r="F155" i="6"/>
  <c r="C155" i="6"/>
  <c r="K143" i="6"/>
  <c r="M143" i="6"/>
  <c r="K126" i="6"/>
  <c r="M126" i="6"/>
  <c r="K108" i="6"/>
  <c r="K90" i="6"/>
  <c r="M90" i="6"/>
  <c r="K70" i="6"/>
  <c r="K52" i="6"/>
  <c r="M52" i="6"/>
  <c r="K34" i="6"/>
  <c r="D126" i="6"/>
  <c r="F126" i="6"/>
  <c r="D108" i="6"/>
  <c r="F108" i="6"/>
  <c r="D90" i="6"/>
  <c r="F90" i="6"/>
  <c r="D70" i="6"/>
  <c r="D52" i="6"/>
  <c r="F52" i="6"/>
  <c r="D34" i="6"/>
  <c r="J125" i="6"/>
  <c r="J126" i="6"/>
  <c r="J127" i="6"/>
  <c r="J128" i="6"/>
  <c r="J129" i="6"/>
  <c r="J130" i="6"/>
  <c r="J131" i="6"/>
  <c r="L124" i="6"/>
  <c r="L125" i="6"/>
  <c r="L126" i="6"/>
  <c r="N126" i="6"/>
  <c r="L127" i="6"/>
  <c r="N127" i="6"/>
  <c r="L131" i="6"/>
  <c r="N131" i="6"/>
  <c r="L132" i="6"/>
  <c r="L123" i="6"/>
  <c r="N123" i="6"/>
  <c r="J124" i="6"/>
  <c r="E124" i="6"/>
  <c r="E125" i="6"/>
  <c r="C125" i="6"/>
  <c r="G125" i="6"/>
  <c r="E126" i="6"/>
  <c r="E127" i="6"/>
  <c r="E129" i="6"/>
  <c r="E131" i="6"/>
  <c r="E132" i="6"/>
  <c r="G132" i="6"/>
  <c r="C126" i="6"/>
  <c r="C127" i="6"/>
  <c r="G127" i="6"/>
  <c r="C128" i="6"/>
  <c r="C129" i="6"/>
  <c r="C130" i="6"/>
  <c r="C131" i="6"/>
  <c r="G131" i="6"/>
  <c r="C124" i="6"/>
  <c r="G124" i="6"/>
  <c r="E123" i="6"/>
  <c r="G123" i="6"/>
  <c r="L121" i="6"/>
  <c r="N121" i="6"/>
  <c r="N149" i="6"/>
  <c r="M149" i="6"/>
  <c r="G149" i="6"/>
  <c r="F149" i="6"/>
  <c r="N148" i="6"/>
  <c r="M148" i="6"/>
  <c r="G148" i="6"/>
  <c r="F148" i="6"/>
  <c r="M147" i="6"/>
  <c r="F147" i="6"/>
  <c r="M146" i="6"/>
  <c r="F146" i="6"/>
  <c r="M145" i="6"/>
  <c r="F145" i="6"/>
  <c r="N144" i="6"/>
  <c r="M144" i="6"/>
  <c r="G144" i="6"/>
  <c r="F144" i="6"/>
  <c r="N143" i="6"/>
  <c r="G143" i="6"/>
  <c r="F143" i="6"/>
  <c r="N142" i="6"/>
  <c r="M142" i="6"/>
  <c r="G142" i="6"/>
  <c r="F142" i="6"/>
  <c r="N141" i="6"/>
  <c r="M141" i="6"/>
  <c r="G141" i="6"/>
  <c r="F141" i="6"/>
  <c r="N140" i="6"/>
  <c r="M140" i="6"/>
  <c r="G140" i="6"/>
  <c r="F140" i="6"/>
  <c r="M139" i="6"/>
  <c r="F139" i="6"/>
  <c r="M138" i="6"/>
  <c r="F138" i="6"/>
  <c r="C138" i="6"/>
  <c r="L106" i="6"/>
  <c r="L107" i="6"/>
  <c r="L108" i="6"/>
  <c r="L109" i="6"/>
  <c r="L113" i="6"/>
  <c r="L114" i="6"/>
  <c r="N114" i="6"/>
  <c r="J107" i="6"/>
  <c r="J108" i="6"/>
  <c r="J109" i="6"/>
  <c r="J110" i="6"/>
  <c r="J111" i="6"/>
  <c r="J112" i="6"/>
  <c r="J113" i="6"/>
  <c r="J106" i="6"/>
  <c r="L105" i="6"/>
  <c r="N105" i="6"/>
  <c r="C107" i="6"/>
  <c r="C108" i="6"/>
  <c r="C109" i="6"/>
  <c r="C110" i="6"/>
  <c r="C111" i="6"/>
  <c r="C112" i="6"/>
  <c r="C113" i="6"/>
  <c r="E106" i="6"/>
  <c r="E107" i="6"/>
  <c r="E108" i="6"/>
  <c r="E109" i="6"/>
  <c r="G109" i="6"/>
  <c r="E111" i="6"/>
  <c r="E113" i="6"/>
  <c r="G113" i="6"/>
  <c r="E114" i="6"/>
  <c r="G114" i="6"/>
  <c r="E105" i="6"/>
  <c r="G105" i="6"/>
  <c r="C106" i="6"/>
  <c r="N132" i="6"/>
  <c r="M132" i="6"/>
  <c r="F132" i="6"/>
  <c r="M131" i="6"/>
  <c r="F131" i="6"/>
  <c r="M130" i="6"/>
  <c r="F130" i="6"/>
  <c r="M129" i="6"/>
  <c r="G129" i="6"/>
  <c r="F129" i="6"/>
  <c r="M128" i="6"/>
  <c r="F128" i="6"/>
  <c r="M127" i="6"/>
  <c r="F127" i="6"/>
  <c r="M125" i="6"/>
  <c r="F125" i="6"/>
  <c r="M124" i="6"/>
  <c r="F124" i="6"/>
  <c r="M123" i="6"/>
  <c r="F123" i="6"/>
  <c r="M122" i="6"/>
  <c r="F122" i="6"/>
  <c r="M121" i="6"/>
  <c r="G121" i="6"/>
  <c r="F121" i="6"/>
  <c r="M120" i="6"/>
  <c r="F120" i="6"/>
  <c r="C120" i="6"/>
  <c r="J89" i="6"/>
  <c r="J90" i="6"/>
  <c r="J91" i="6"/>
  <c r="J92" i="6"/>
  <c r="J93" i="6"/>
  <c r="J94" i="6"/>
  <c r="J95" i="6"/>
  <c r="J88" i="6"/>
  <c r="L88" i="6"/>
  <c r="L89" i="6"/>
  <c r="L90" i="6"/>
  <c r="L91" i="6"/>
  <c r="L95" i="6"/>
  <c r="L96" i="6"/>
  <c r="N96" i="6"/>
  <c r="L87" i="6"/>
  <c r="M84" i="6"/>
  <c r="M85" i="6"/>
  <c r="F84" i="6"/>
  <c r="F85" i="6"/>
  <c r="C89" i="6"/>
  <c r="C90" i="6"/>
  <c r="C91" i="6"/>
  <c r="C92" i="6"/>
  <c r="C93" i="6"/>
  <c r="C94" i="6"/>
  <c r="C95" i="6"/>
  <c r="C88" i="6"/>
  <c r="E88" i="6"/>
  <c r="G88" i="6"/>
  <c r="E89" i="6"/>
  <c r="E90" i="6"/>
  <c r="E91" i="6"/>
  <c r="E93" i="6"/>
  <c r="E95" i="6"/>
  <c r="E96" i="6"/>
  <c r="G96" i="6"/>
  <c r="E87" i="6"/>
  <c r="G87" i="6"/>
  <c r="M114" i="6"/>
  <c r="F114" i="6"/>
  <c r="M113" i="6"/>
  <c r="F113" i="6"/>
  <c r="M112" i="6"/>
  <c r="F112" i="6"/>
  <c r="M111" i="6"/>
  <c r="F111" i="6"/>
  <c r="M110" i="6"/>
  <c r="F110" i="6"/>
  <c r="M109" i="6"/>
  <c r="F109" i="6"/>
  <c r="M108" i="6"/>
  <c r="M107" i="6"/>
  <c r="F107" i="6"/>
  <c r="M106" i="6"/>
  <c r="F106" i="6"/>
  <c r="M105" i="6"/>
  <c r="F105" i="6"/>
  <c r="M104" i="6"/>
  <c r="F104" i="6"/>
  <c r="M103" i="6"/>
  <c r="F103" i="6"/>
  <c r="M102" i="6"/>
  <c r="F102" i="6"/>
  <c r="C102" i="6"/>
  <c r="M96" i="6"/>
  <c r="F96" i="6"/>
  <c r="M95" i="6"/>
  <c r="F95" i="6"/>
  <c r="M94" i="6"/>
  <c r="F94" i="6"/>
  <c r="M93" i="6"/>
  <c r="F93" i="6"/>
  <c r="M92" i="6"/>
  <c r="F92" i="6"/>
  <c r="M91" i="6"/>
  <c r="F91" i="6"/>
  <c r="M89" i="6"/>
  <c r="F89" i="6"/>
  <c r="M88" i="6"/>
  <c r="F88" i="6"/>
  <c r="M87" i="6"/>
  <c r="N87" i="6"/>
  <c r="F87" i="6"/>
  <c r="M86" i="6"/>
  <c r="F86" i="6"/>
  <c r="M83" i="6"/>
  <c r="F83" i="6"/>
  <c r="M82" i="6"/>
  <c r="F82" i="6"/>
  <c r="C82" i="6"/>
  <c r="L68" i="6"/>
  <c r="L69" i="6"/>
  <c r="L70" i="6"/>
  <c r="L71" i="6"/>
  <c r="L75" i="6"/>
  <c r="L76" i="6"/>
  <c r="N76" i="6"/>
  <c r="L67" i="6"/>
  <c r="N67" i="6"/>
  <c r="J69" i="6"/>
  <c r="J70" i="6"/>
  <c r="J71" i="6"/>
  <c r="J72" i="6"/>
  <c r="J73" i="6"/>
  <c r="J74" i="6"/>
  <c r="J75" i="6"/>
  <c r="J68" i="6"/>
  <c r="C69" i="6"/>
  <c r="C70" i="6"/>
  <c r="C71" i="6"/>
  <c r="C72" i="6"/>
  <c r="C73" i="6"/>
  <c r="C74" i="6"/>
  <c r="C75" i="6"/>
  <c r="C68" i="6"/>
  <c r="E68" i="6"/>
  <c r="E69" i="6"/>
  <c r="E70" i="6"/>
  <c r="E71" i="6"/>
  <c r="E73" i="6"/>
  <c r="E75" i="6"/>
  <c r="E76" i="6"/>
  <c r="G76" i="6"/>
  <c r="E67" i="6"/>
  <c r="G67" i="6"/>
  <c r="L50" i="6"/>
  <c r="L51" i="6"/>
  <c r="L52" i="6"/>
  <c r="L53" i="6"/>
  <c r="J56" i="6"/>
  <c r="L57" i="6"/>
  <c r="L58" i="6"/>
  <c r="N58" i="6"/>
  <c r="L49" i="6"/>
  <c r="N49" i="6"/>
  <c r="J51" i="6"/>
  <c r="J52" i="6"/>
  <c r="J53" i="6"/>
  <c r="J54" i="6"/>
  <c r="J55" i="6"/>
  <c r="J57" i="6"/>
  <c r="J50" i="6"/>
  <c r="E50" i="6"/>
  <c r="E51" i="6"/>
  <c r="E52" i="6"/>
  <c r="E53" i="6"/>
  <c r="E55" i="6"/>
  <c r="E57" i="6"/>
  <c r="E58" i="6"/>
  <c r="E49" i="6"/>
  <c r="G49" i="6"/>
  <c r="C51" i="6"/>
  <c r="C52" i="6"/>
  <c r="C53" i="6"/>
  <c r="C54" i="6"/>
  <c r="C55" i="6"/>
  <c r="C56" i="6"/>
  <c r="C57" i="6"/>
  <c r="C50" i="6"/>
  <c r="J29" i="6"/>
  <c r="L32" i="6"/>
  <c r="L33" i="6"/>
  <c r="L34" i="6"/>
  <c r="L35" i="6"/>
  <c r="L39" i="6"/>
  <c r="L40" i="6"/>
  <c r="N40" i="6"/>
  <c r="L31" i="6"/>
  <c r="J33" i="6"/>
  <c r="J34" i="6"/>
  <c r="J35" i="6"/>
  <c r="U69" i="6"/>
  <c r="J36" i="6"/>
  <c r="J37" i="6"/>
  <c r="J38" i="6"/>
  <c r="J39" i="6"/>
  <c r="J32" i="6"/>
  <c r="E32" i="6"/>
  <c r="E33" i="6"/>
  <c r="E34" i="6"/>
  <c r="E35" i="6"/>
  <c r="E37" i="6"/>
  <c r="E39" i="6"/>
  <c r="E40" i="6"/>
  <c r="G40" i="6"/>
  <c r="E31" i="6"/>
  <c r="G31" i="6"/>
  <c r="C33" i="6"/>
  <c r="C34" i="6"/>
  <c r="C35" i="6"/>
  <c r="C36" i="6"/>
  <c r="C37" i="6"/>
  <c r="C38" i="6"/>
  <c r="C39" i="6"/>
  <c r="C32" i="6"/>
  <c r="M76" i="6"/>
  <c r="F76" i="6"/>
  <c r="M75" i="6"/>
  <c r="F75" i="6"/>
  <c r="M74" i="6"/>
  <c r="F74" i="6"/>
  <c r="M73" i="6"/>
  <c r="F73" i="6"/>
  <c r="M72" i="6"/>
  <c r="F72" i="6"/>
  <c r="M71" i="6"/>
  <c r="F71" i="6"/>
  <c r="M70" i="6"/>
  <c r="F70" i="6"/>
  <c r="M69" i="6"/>
  <c r="F69" i="6"/>
  <c r="M68" i="6"/>
  <c r="F68" i="6"/>
  <c r="M67" i="6"/>
  <c r="F67" i="6"/>
  <c r="M66" i="6"/>
  <c r="F66" i="6"/>
  <c r="M65" i="6"/>
  <c r="F65" i="6"/>
  <c r="M64" i="6"/>
  <c r="F64" i="6"/>
  <c r="C64" i="6"/>
  <c r="M29" i="6"/>
  <c r="F29" i="6"/>
  <c r="M58" i="6"/>
  <c r="G58" i="6"/>
  <c r="F58" i="6"/>
  <c r="M57" i="6"/>
  <c r="F57" i="6"/>
  <c r="M56" i="6"/>
  <c r="F56" i="6"/>
  <c r="M55" i="6"/>
  <c r="F55" i="6"/>
  <c r="M54" i="6"/>
  <c r="F54" i="6"/>
  <c r="M53" i="6"/>
  <c r="F53" i="6"/>
  <c r="M51" i="6"/>
  <c r="F51" i="6"/>
  <c r="M50" i="6"/>
  <c r="F50" i="6"/>
  <c r="M49" i="6"/>
  <c r="F49" i="6"/>
  <c r="M48" i="6"/>
  <c r="F48" i="6"/>
  <c r="M47" i="6"/>
  <c r="F47" i="6"/>
  <c r="M46" i="6"/>
  <c r="F46" i="6"/>
  <c r="C46" i="6"/>
  <c r="M40" i="6"/>
  <c r="F40" i="6"/>
  <c r="M39" i="6"/>
  <c r="F39" i="6"/>
  <c r="M38" i="6"/>
  <c r="F38" i="6"/>
  <c r="M37" i="6"/>
  <c r="F37" i="6"/>
  <c r="M36" i="6"/>
  <c r="F36" i="6"/>
  <c r="M35" i="6"/>
  <c r="F35" i="6"/>
  <c r="M34" i="6"/>
  <c r="F34" i="6"/>
  <c r="M33" i="6"/>
  <c r="F33" i="6"/>
  <c r="M32" i="6"/>
  <c r="F32" i="6"/>
  <c r="M31" i="6"/>
  <c r="F31" i="6"/>
  <c r="M30" i="6"/>
  <c r="F30" i="6"/>
  <c r="M28" i="6"/>
  <c r="F28" i="6"/>
  <c r="M27" i="6"/>
  <c r="F27" i="6"/>
  <c r="M26" i="6"/>
  <c r="F26" i="6"/>
  <c r="C26" i="6"/>
  <c r="T21" i="6"/>
  <c r="T20" i="6"/>
  <c r="T19" i="6"/>
  <c r="T18" i="6"/>
  <c r="N20" i="6"/>
  <c r="M20" i="6"/>
  <c r="N19" i="6"/>
  <c r="M19" i="6"/>
  <c r="M18" i="6"/>
  <c r="N17" i="6"/>
  <c r="M17" i="6"/>
  <c r="M16" i="6"/>
  <c r="N15" i="6"/>
  <c r="M15" i="6"/>
  <c r="N14" i="6"/>
  <c r="M14" i="6"/>
  <c r="N13" i="6"/>
  <c r="M13" i="6"/>
  <c r="N12" i="6"/>
  <c r="M12" i="6"/>
  <c r="N11" i="6"/>
  <c r="M11" i="6"/>
  <c r="M10" i="6"/>
  <c r="M9" i="6"/>
  <c r="M8" i="6"/>
  <c r="M7" i="6"/>
  <c r="N107" i="6"/>
  <c r="N113" i="6"/>
  <c r="U12" i="7"/>
  <c r="G29" i="7"/>
  <c r="G63" i="7"/>
  <c r="G126" i="6"/>
  <c r="G51" i="6"/>
  <c r="N106" i="6"/>
  <c r="N108" i="6"/>
  <c r="L111" i="6"/>
  <c r="N111" i="6"/>
  <c r="L129" i="6"/>
  <c r="N129" i="6"/>
  <c r="L55" i="6"/>
  <c r="N55" i="6"/>
  <c r="L73" i="6"/>
  <c r="N73" i="6"/>
  <c r="L37" i="6"/>
  <c r="G146" i="6"/>
  <c r="G166" i="6"/>
  <c r="S37" i="6"/>
  <c r="U37" i="6"/>
  <c r="S66" i="6"/>
  <c r="U66" i="6"/>
  <c r="S52" i="6"/>
  <c r="U52" i="6"/>
  <c r="G55" i="6"/>
  <c r="N57" i="6"/>
  <c r="G34" i="6"/>
  <c r="G50" i="6"/>
  <c r="N52" i="6"/>
  <c r="G69" i="6"/>
  <c r="U50" i="7"/>
  <c r="S65" i="7"/>
  <c r="U65" i="7"/>
  <c r="G73" i="6"/>
  <c r="U91" i="6"/>
  <c r="S107" i="6"/>
  <c r="U107" i="6"/>
  <c r="G30" i="7"/>
  <c r="S54" i="7"/>
  <c r="S39" i="7"/>
  <c r="U39" i="7"/>
  <c r="G24" i="7"/>
  <c r="S33" i="7"/>
  <c r="U33" i="7"/>
  <c r="S48" i="7"/>
  <c r="G57" i="6"/>
  <c r="G53" i="6"/>
  <c r="G107" i="6"/>
  <c r="U99" i="6"/>
  <c r="Q115" i="6"/>
  <c r="U115" i="6"/>
  <c r="G52" i="7"/>
  <c r="S53" i="7"/>
  <c r="S68" i="7"/>
  <c r="S38" i="7"/>
  <c r="U24" i="7"/>
  <c r="N51" i="6"/>
  <c r="N69" i="6"/>
  <c r="Q53" i="7"/>
  <c r="Q38" i="7"/>
  <c r="G41" i="7"/>
  <c r="J67" i="7"/>
  <c r="J82" i="7"/>
  <c r="L54" i="7"/>
  <c r="N54" i="7"/>
  <c r="N13" i="7"/>
  <c r="L42" i="7"/>
  <c r="L83" i="7"/>
  <c r="N83" i="7"/>
  <c r="L27" i="7"/>
  <c r="L68" i="7"/>
  <c r="N68" i="7"/>
  <c r="L51" i="7"/>
  <c r="N51" i="7"/>
  <c r="L36" i="7"/>
  <c r="L22" i="7"/>
  <c r="L53" i="7"/>
  <c r="N53" i="7"/>
  <c r="L26" i="7"/>
  <c r="L67" i="7"/>
  <c r="L41" i="7"/>
  <c r="L82" i="7"/>
  <c r="N12" i="7"/>
  <c r="N40" i="7"/>
  <c r="L81" i="7"/>
  <c r="N81" i="7"/>
  <c r="J41" i="7"/>
  <c r="J26" i="7"/>
  <c r="L78" i="7"/>
  <c r="N78" i="7"/>
  <c r="N37" i="7"/>
  <c r="N124" i="6"/>
  <c r="G52" i="6"/>
  <c r="N70" i="6"/>
  <c r="N68" i="6"/>
  <c r="N90" i="6"/>
  <c r="G68" i="6"/>
  <c r="N32" i="6"/>
  <c r="N31" i="6"/>
  <c r="U68" i="6"/>
  <c r="N93" i="6"/>
  <c r="N89" i="6"/>
  <c r="G90" i="6"/>
  <c r="N88" i="6"/>
  <c r="G106" i="6"/>
  <c r="G108" i="6"/>
  <c r="G37" i="6"/>
  <c r="G33" i="6"/>
  <c r="G39" i="6"/>
  <c r="G35" i="6"/>
  <c r="N37" i="6"/>
  <c r="N33" i="6"/>
  <c r="N53" i="6"/>
  <c r="N75" i="6"/>
  <c r="N71" i="6"/>
  <c r="G111" i="6"/>
  <c r="N125" i="6"/>
  <c r="G32" i="6"/>
  <c r="N34" i="6"/>
  <c r="N39" i="6"/>
  <c r="N35" i="6"/>
  <c r="N50" i="6"/>
  <c r="G75" i="6"/>
  <c r="G71" i="6"/>
  <c r="G70" i="6"/>
  <c r="N109" i="6"/>
  <c r="N95" i="6"/>
  <c r="N91" i="6"/>
  <c r="G89" i="6"/>
  <c r="G93" i="6"/>
  <c r="G91" i="6"/>
  <c r="G95" i="6"/>
  <c r="F14" i="6"/>
  <c r="G11" i="6"/>
  <c r="G12" i="6"/>
  <c r="G13" i="6"/>
  <c r="G14" i="6"/>
  <c r="F13" i="6"/>
  <c r="F12" i="6"/>
  <c r="F11" i="6"/>
  <c r="G20" i="6"/>
  <c r="F20" i="6"/>
  <c r="C7" i="6"/>
  <c r="G19" i="6"/>
  <c r="F19" i="6"/>
  <c r="F18" i="6"/>
  <c r="G17" i="6"/>
  <c r="F17" i="6"/>
  <c r="F16" i="6"/>
  <c r="G15" i="6"/>
  <c r="F15" i="6"/>
  <c r="F10" i="6"/>
  <c r="F9" i="6"/>
  <c r="F8" i="6"/>
  <c r="F7" i="6"/>
  <c r="G25" i="9"/>
  <c r="F25" i="9"/>
  <c r="G24" i="9"/>
  <c r="F24" i="9"/>
  <c r="F23" i="9"/>
  <c r="G17" i="9"/>
  <c r="F17" i="9"/>
  <c r="G16" i="9"/>
  <c r="F16" i="9"/>
  <c r="F15" i="9"/>
  <c r="F73" i="8"/>
  <c r="T57" i="8"/>
  <c r="R59" i="8"/>
  <c r="R60" i="8"/>
  <c r="T60" i="8"/>
  <c r="Q61" i="8"/>
  <c r="R61" i="8"/>
  <c r="T61" i="8"/>
  <c r="S61" i="8"/>
  <c r="Q62" i="8"/>
  <c r="R62" i="8"/>
  <c r="T62" i="8"/>
  <c r="Q63" i="8"/>
  <c r="R63" i="8"/>
  <c r="R64" i="8"/>
  <c r="T64" i="8"/>
  <c r="R65" i="8"/>
  <c r="T65" i="8"/>
  <c r="R66" i="8"/>
  <c r="T66" i="8"/>
  <c r="R67" i="8"/>
  <c r="T67" i="8"/>
  <c r="Q68" i="8"/>
  <c r="R68" i="8"/>
  <c r="T68" i="8"/>
  <c r="R58" i="8"/>
  <c r="T58" i="8"/>
  <c r="R42" i="8"/>
  <c r="T42" i="8"/>
  <c r="R43" i="8"/>
  <c r="T43" i="8"/>
  <c r="Q44" i="8"/>
  <c r="R44" i="8"/>
  <c r="T44" i="8"/>
  <c r="S44" i="8"/>
  <c r="Q45" i="8"/>
  <c r="R45" i="8"/>
  <c r="Q46" i="8"/>
  <c r="R46" i="8"/>
  <c r="R47" i="8"/>
  <c r="T47" i="8"/>
  <c r="R48" i="8"/>
  <c r="T48" i="8"/>
  <c r="R49" i="8"/>
  <c r="T49" i="8"/>
  <c r="R50" i="8"/>
  <c r="Q51" i="8"/>
  <c r="R51" i="8"/>
  <c r="T51" i="8"/>
  <c r="R41" i="8"/>
  <c r="T63" i="8"/>
  <c r="T59" i="8"/>
  <c r="T50" i="8"/>
  <c r="T46" i="8"/>
  <c r="T45" i="8"/>
  <c r="T41" i="8"/>
  <c r="M24" i="8"/>
  <c r="M23" i="8"/>
  <c r="K60" i="8"/>
  <c r="D76" i="8"/>
  <c r="F76" i="8"/>
  <c r="L60" i="8"/>
  <c r="E76" i="8"/>
  <c r="G76" i="8"/>
  <c r="K61" i="8"/>
  <c r="M61" i="8"/>
  <c r="L61" i="8"/>
  <c r="N61" i="8" s="1"/>
  <c r="E77" i="8"/>
  <c r="G77" i="8" s="1"/>
  <c r="K62" i="8"/>
  <c r="M62" i="8"/>
  <c r="L62" i="8"/>
  <c r="E78" i="8"/>
  <c r="K63" i="8"/>
  <c r="M63" i="8"/>
  <c r="L63" i="8"/>
  <c r="E79" i="8"/>
  <c r="G79" i="8" s="1"/>
  <c r="K64" i="8"/>
  <c r="M64" i="8"/>
  <c r="L64" i="8"/>
  <c r="E80" i="8"/>
  <c r="K65" i="8"/>
  <c r="M65" i="8"/>
  <c r="L65" i="8"/>
  <c r="E81" i="8"/>
  <c r="K66" i="8"/>
  <c r="M66" i="8"/>
  <c r="L66" i="8"/>
  <c r="E82" i="8"/>
  <c r="K67" i="8"/>
  <c r="M67" i="8"/>
  <c r="K58" i="8"/>
  <c r="D74" i="8"/>
  <c r="F74" i="8"/>
  <c r="K59" i="8"/>
  <c r="M59" i="8"/>
  <c r="J59" i="8"/>
  <c r="C75" i="8"/>
  <c r="J60" i="8"/>
  <c r="J61" i="8"/>
  <c r="C77" i="8"/>
  <c r="J62" i="8"/>
  <c r="C78" i="8"/>
  <c r="J63" i="8"/>
  <c r="C79" i="8"/>
  <c r="J64" i="8"/>
  <c r="C80" i="8"/>
  <c r="J65" i="8"/>
  <c r="C81" i="8"/>
  <c r="J66" i="8"/>
  <c r="C82" i="8"/>
  <c r="J67" i="8"/>
  <c r="C83" i="8"/>
  <c r="J58" i="8"/>
  <c r="C74" i="8"/>
  <c r="M58" i="8"/>
  <c r="M57" i="8"/>
  <c r="M41" i="8"/>
  <c r="F40" i="8"/>
  <c r="F39" i="8"/>
  <c r="S32" i="8"/>
  <c r="S49" i="8"/>
  <c r="S31" i="8"/>
  <c r="S65" i="8"/>
  <c r="S30" i="8"/>
  <c r="S47" i="8"/>
  <c r="S24" i="8"/>
  <c r="S41" i="8"/>
  <c r="Q25" i="8"/>
  <c r="Q59" i="8"/>
  <c r="Q24" i="8"/>
  <c r="Q41" i="8"/>
  <c r="Q26" i="8"/>
  <c r="Q43" i="8"/>
  <c r="T34" i="8"/>
  <c r="T32" i="8"/>
  <c r="T27" i="8"/>
  <c r="T25" i="8"/>
  <c r="T24" i="8"/>
  <c r="K25" i="8"/>
  <c r="M25" i="8"/>
  <c r="K26" i="8"/>
  <c r="M26" i="8"/>
  <c r="K27" i="8"/>
  <c r="M27" i="8"/>
  <c r="L27" i="8"/>
  <c r="K29" i="8"/>
  <c r="M29" i="8"/>
  <c r="L29" i="8"/>
  <c r="L30" i="8"/>
  <c r="N30" i="8" s="1"/>
  <c r="K31" i="8"/>
  <c r="M31" i="8"/>
  <c r="L31" i="8"/>
  <c r="K32" i="8"/>
  <c r="M32" i="8"/>
  <c r="L32" i="8"/>
  <c r="K33" i="8"/>
  <c r="M33" i="8"/>
  <c r="L33" i="8"/>
  <c r="J26" i="8"/>
  <c r="J27" i="8"/>
  <c r="J28" i="8"/>
  <c r="J29" i="8"/>
  <c r="J30" i="8"/>
  <c r="J25" i="8"/>
  <c r="G14" i="8"/>
  <c r="G15" i="8"/>
  <c r="C59" i="8"/>
  <c r="J43" i="8"/>
  <c r="D59" i="8"/>
  <c r="F59" i="8"/>
  <c r="C60" i="8"/>
  <c r="J44" i="8"/>
  <c r="D60" i="8"/>
  <c r="K44" i="8"/>
  <c r="M44" i="8"/>
  <c r="E60" i="8"/>
  <c r="L44" i="8"/>
  <c r="C61" i="8"/>
  <c r="D61" i="8"/>
  <c r="F61" i="8"/>
  <c r="E61" i="8"/>
  <c r="L45" i="8" s="1"/>
  <c r="N45" i="8" s="1"/>
  <c r="C62" i="8"/>
  <c r="D62" i="8"/>
  <c r="T29" i="8"/>
  <c r="E62" i="8"/>
  <c r="L46" i="8"/>
  <c r="C63" i="8"/>
  <c r="J47" i="8"/>
  <c r="D63" i="8"/>
  <c r="F63" i="8"/>
  <c r="E63" i="8"/>
  <c r="G63" i="8" s="1"/>
  <c r="L47" i="8"/>
  <c r="N47" i="8" s="1"/>
  <c r="C64" i="8"/>
  <c r="J48" i="8"/>
  <c r="D64" i="8"/>
  <c r="T31" i="8"/>
  <c r="E64" i="8"/>
  <c r="L48" i="8"/>
  <c r="C65" i="8"/>
  <c r="D65" i="8"/>
  <c r="F65" i="8"/>
  <c r="E65" i="8"/>
  <c r="L49" i="8"/>
  <c r="C66" i="8"/>
  <c r="J50" i="8"/>
  <c r="D66" i="8"/>
  <c r="T33" i="8"/>
  <c r="E66" i="8"/>
  <c r="L50" i="8"/>
  <c r="C67" i="8"/>
  <c r="J51" i="8"/>
  <c r="D67" i="8"/>
  <c r="F67" i="8"/>
  <c r="D58" i="8"/>
  <c r="K42" i="8"/>
  <c r="M42" i="8"/>
  <c r="E58" i="8"/>
  <c r="L42" i="8"/>
  <c r="C58" i="8"/>
  <c r="J42" i="8"/>
  <c r="F56" i="8"/>
  <c r="F57" i="8"/>
  <c r="F23" i="8"/>
  <c r="D24" i="8"/>
  <c r="F24" i="8"/>
  <c r="E24" i="8"/>
  <c r="E41" i="8"/>
  <c r="D25" i="8"/>
  <c r="F25" i="8"/>
  <c r="D26" i="8"/>
  <c r="F26" i="8"/>
  <c r="E26" i="8"/>
  <c r="E43" i="8"/>
  <c r="D27" i="8"/>
  <c r="F27" i="8"/>
  <c r="D28" i="8"/>
  <c r="F28" i="8"/>
  <c r="E28" i="8"/>
  <c r="E45" i="8"/>
  <c r="D29" i="8"/>
  <c r="F29" i="8"/>
  <c r="E29" i="8"/>
  <c r="G29" i="8" s="1"/>
  <c r="E46" i="8"/>
  <c r="G46" i="8" s="1"/>
  <c r="D30" i="8"/>
  <c r="F30" i="8"/>
  <c r="E30" i="8"/>
  <c r="E47" i="8"/>
  <c r="D31" i="8"/>
  <c r="D48" i="8"/>
  <c r="F48" i="8"/>
  <c r="E31" i="8"/>
  <c r="E48" i="8"/>
  <c r="D32" i="8"/>
  <c r="F32" i="8"/>
  <c r="E32" i="8"/>
  <c r="E49" i="8"/>
  <c r="D33" i="8"/>
  <c r="F33" i="8"/>
  <c r="C33" i="8"/>
  <c r="C50" i="8"/>
  <c r="C32" i="8"/>
  <c r="C49" i="8"/>
  <c r="C31" i="8"/>
  <c r="C48" i="8"/>
  <c r="C30" i="8"/>
  <c r="C47" i="8"/>
  <c r="C29" i="8"/>
  <c r="C46" i="8"/>
  <c r="C28" i="8"/>
  <c r="C45" i="8"/>
  <c r="C27" i="8"/>
  <c r="C44" i="8"/>
  <c r="C26" i="8"/>
  <c r="C43" i="8"/>
  <c r="C25" i="8"/>
  <c r="C42" i="8"/>
  <c r="C24" i="8"/>
  <c r="C41" i="8"/>
  <c r="T12" i="6"/>
  <c r="T11" i="6"/>
  <c r="T10" i="6"/>
  <c r="U9" i="6"/>
  <c r="S47" i="6" s="1"/>
  <c r="U47" i="6" s="1"/>
  <c r="T9" i="6"/>
  <c r="T8" i="6"/>
  <c r="T7" i="6"/>
  <c r="N15" i="8"/>
  <c r="N14" i="8"/>
  <c r="U61" i="8"/>
  <c r="U38" i="7"/>
  <c r="S63" i="7"/>
  <c r="U63" i="7"/>
  <c r="U48" i="7"/>
  <c r="S69" i="7"/>
  <c r="U69" i="7"/>
  <c r="U54" i="7"/>
  <c r="N67" i="7"/>
  <c r="N82" i="7"/>
  <c r="Q68" i="7"/>
  <c r="U68" i="7"/>
  <c r="U53" i="7"/>
  <c r="S66" i="8"/>
  <c r="U41" i="8"/>
  <c r="U44" i="8"/>
  <c r="Q60" i="8"/>
  <c r="Q42" i="8"/>
  <c r="J32" i="8"/>
  <c r="N32" i="8"/>
  <c r="Q58" i="8"/>
  <c r="S48" i="8"/>
  <c r="J31" i="8"/>
  <c r="N31" i="8"/>
  <c r="Q30" i="8"/>
  <c r="S58" i="8"/>
  <c r="U58" i="8"/>
  <c r="S64" i="8"/>
  <c r="D79" i="8"/>
  <c r="F79" i="8"/>
  <c r="J33" i="8"/>
  <c r="F64" i="8"/>
  <c r="J34" i="8"/>
  <c r="S43" i="8"/>
  <c r="U43" i="8" s="1"/>
  <c r="N42" i="7"/>
  <c r="N27" i="7"/>
  <c r="N41" i="7"/>
  <c r="L77" i="7"/>
  <c r="N77" i="7"/>
  <c r="N36" i="7"/>
  <c r="N26" i="7"/>
  <c r="L63" i="7"/>
  <c r="N63" i="7"/>
  <c r="N22" i="7"/>
  <c r="L47" i="6"/>
  <c r="N47" i="6"/>
  <c r="E47" i="6"/>
  <c r="G47" i="6"/>
  <c r="L27" i="6"/>
  <c r="N27" i="6" s="1"/>
  <c r="E27" i="6"/>
  <c r="G27" i="6" s="1"/>
  <c r="G81" i="8"/>
  <c r="D77" i="8"/>
  <c r="F77" i="8"/>
  <c r="G82" i="8"/>
  <c r="G80" i="8"/>
  <c r="M60" i="8"/>
  <c r="D75" i="8"/>
  <c r="F75" i="8"/>
  <c r="D83" i="8"/>
  <c r="F83" i="8"/>
  <c r="G78" i="8"/>
  <c r="D78" i="8"/>
  <c r="F78" i="8"/>
  <c r="N64" i="8"/>
  <c r="D80" i="8"/>
  <c r="F80" i="8"/>
  <c r="D81" i="8"/>
  <c r="F81" i="8"/>
  <c r="D82" i="8"/>
  <c r="F82" i="8"/>
  <c r="K28" i="8"/>
  <c r="M28" i="8"/>
  <c r="F62" i="8"/>
  <c r="N66" i="8"/>
  <c r="N62" i="8"/>
  <c r="K30" i="8"/>
  <c r="M30" i="8"/>
  <c r="N60" i="8"/>
  <c r="F58" i="8"/>
  <c r="N50" i="8"/>
  <c r="D46" i="8"/>
  <c r="F46" i="8"/>
  <c r="F31" i="8"/>
  <c r="F66" i="8"/>
  <c r="N33" i="8"/>
  <c r="N29" i="8"/>
  <c r="U24" i="8"/>
  <c r="K45" i="8"/>
  <c r="M45" i="8"/>
  <c r="N27" i="8"/>
  <c r="G47" i="8"/>
  <c r="F60" i="8"/>
  <c r="G65" i="8"/>
  <c r="G61" i="8"/>
  <c r="K46" i="8"/>
  <c r="M46" i="8"/>
  <c r="K34" i="8"/>
  <c r="M34" i="8"/>
  <c r="G48" i="8"/>
  <c r="N65" i="8"/>
  <c r="N63" i="8"/>
  <c r="L25" i="8"/>
  <c r="N42" i="8"/>
  <c r="G41" i="8"/>
  <c r="G49" i="8"/>
  <c r="N48" i="8"/>
  <c r="G45" i="8"/>
  <c r="K47" i="8"/>
  <c r="M47" i="8"/>
  <c r="D43" i="8"/>
  <c r="F43" i="8"/>
  <c r="D44" i="8"/>
  <c r="F44" i="8"/>
  <c r="D45" i="8"/>
  <c r="F45" i="8"/>
  <c r="J49" i="8"/>
  <c r="N49" i="8"/>
  <c r="D42" i="8"/>
  <c r="F42" i="8"/>
  <c r="D50" i="8"/>
  <c r="F50" i="8"/>
  <c r="K43" i="8"/>
  <c r="M43" i="8"/>
  <c r="K49" i="8"/>
  <c r="M49" i="8"/>
  <c r="K50" i="8"/>
  <c r="M50" i="8"/>
  <c r="K51" i="8"/>
  <c r="M51" i="8"/>
  <c r="G43" i="8"/>
  <c r="N44" i="8"/>
  <c r="D41" i="8"/>
  <c r="F41" i="8"/>
  <c r="D47" i="8"/>
  <c r="F47" i="8"/>
  <c r="D49" i="8"/>
  <c r="F49" i="8"/>
  <c r="J45" i="8"/>
  <c r="J46" i="8"/>
  <c r="N46" i="8"/>
  <c r="K48" i="8"/>
  <c r="M48" i="8"/>
  <c r="U30" i="8"/>
  <c r="G62" i="8"/>
  <c r="T30" i="8"/>
  <c r="U31" i="8"/>
  <c r="G58" i="8"/>
  <c r="G66" i="8"/>
  <c r="G64" i="8"/>
  <c r="G60" i="8"/>
  <c r="T26" i="8"/>
  <c r="U27" i="8"/>
  <c r="T28" i="8"/>
  <c r="G26" i="8"/>
  <c r="G30" i="8"/>
  <c r="G24" i="8"/>
  <c r="G28" i="8"/>
  <c r="G32" i="8"/>
  <c r="G31" i="8"/>
  <c r="M37" i="12"/>
  <c r="M36" i="12"/>
  <c r="M35" i="12"/>
  <c r="N9" i="12"/>
  <c r="N25" i="9"/>
  <c r="M25" i="9"/>
  <c r="N24" i="9"/>
  <c r="M24" i="9"/>
  <c r="M23" i="9"/>
  <c r="N17" i="9"/>
  <c r="M17" i="9"/>
  <c r="N16" i="9"/>
  <c r="M16" i="9"/>
  <c r="M15" i="9"/>
  <c r="M9" i="9"/>
  <c r="M8" i="9"/>
  <c r="M7" i="9"/>
  <c r="U45" i="12"/>
  <c r="T45" i="12"/>
  <c r="U44" i="12"/>
  <c r="T44" i="12"/>
  <c r="U43" i="12"/>
  <c r="T43" i="12"/>
  <c r="T42" i="12"/>
  <c r="U41" i="12"/>
  <c r="T41" i="12"/>
  <c r="T21" i="12"/>
  <c r="T23" i="12"/>
  <c r="T24" i="12"/>
  <c r="T25" i="12"/>
  <c r="T26" i="12"/>
  <c r="T27" i="12"/>
  <c r="T28" i="12"/>
  <c r="T29" i="12"/>
  <c r="T30" i="12"/>
  <c r="T31" i="12"/>
  <c r="T32" i="12"/>
  <c r="T33" i="12"/>
  <c r="T20" i="12"/>
  <c r="M27" i="12"/>
  <c r="M26" i="12"/>
  <c r="M25" i="12"/>
  <c r="M24" i="12"/>
  <c r="M23" i="12"/>
  <c r="T12" i="12"/>
  <c r="T11" i="12"/>
  <c r="T10" i="12"/>
  <c r="T9" i="12"/>
  <c r="F34" i="12"/>
  <c r="G34" i="12"/>
  <c r="F33" i="12"/>
  <c r="G33" i="12"/>
  <c r="G32" i="12"/>
  <c r="F32" i="12"/>
  <c r="G31" i="12"/>
  <c r="F31" i="12"/>
  <c r="G30" i="12"/>
  <c r="F30" i="12"/>
  <c r="F29" i="12"/>
  <c r="G28" i="12"/>
  <c r="F28" i="12"/>
  <c r="G27" i="12"/>
  <c r="F27" i="12"/>
  <c r="F26" i="12"/>
  <c r="F25" i="12"/>
  <c r="N15" i="12"/>
  <c r="M15" i="12"/>
  <c r="N14" i="12"/>
  <c r="M14" i="12"/>
  <c r="N13" i="12"/>
  <c r="M13" i="12"/>
  <c r="N12" i="12"/>
  <c r="M12" i="12"/>
  <c r="N11" i="12"/>
  <c r="M11" i="12"/>
  <c r="M10" i="12"/>
  <c r="M9" i="12"/>
  <c r="M17" i="8"/>
  <c r="N16" i="8"/>
  <c r="M16" i="8"/>
  <c r="M15" i="8"/>
  <c r="M14" i="8"/>
  <c r="N13" i="8"/>
  <c r="M13" i="8"/>
  <c r="N12" i="8"/>
  <c r="M12" i="8"/>
  <c r="N11" i="8"/>
  <c r="M11" i="8"/>
  <c r="N10" i="8"/>
  <c r="M10" i="8"/>
  <c r="M9" i="8"/>
  <c r="N8" i="8"/>
  <c r="M8" i="8"/>
  <c r="F15" i="8"/>
  <c r="F14" i="8"/>
  <c r="G16" i="8"/>
  <c r="F16" i="8"/>
  <c r="F13" i="8"/>
  <c r="G12" i="8"/>
  <c r="F12" i="8"/>
  <c r="F11" i="8"/>
  <c r="G11" i="8"/>
  <c r="F10" i="8"/>
  <c r="G10" i="8"/>
  <c r="F9" i="8"/>
  <c r="G8" i="8"/>
  <c r="F8" i="8"/>
  <c r="J123" i="5"/>
  <c r="K107" i="5"/>
  <c r="K108" i="5"/>
  <c r="L108" i="5"/>
  <c r="K109" i="5"/>
  <c r="K110" i="5"/>
  <c r="L110" i="5"/>
  <c r="K111" i="5"/>
  <c r="K112" i="5"/>
  <c r="L112" i="5"/>
  <c r="J112" i="5"/>
  <c r="J111" i="5"/>
  <c r="J110" i="5"/>
  <c r="J109" i="5"/>
  <c r="J69" i="5"/>
  <c r="J108" i="5"/>
  <c r="J107" i="5"/>
  <c r="J96" i="5"/>
  <c r="J95" i="5"/>
  <c r="J84" i="5"/>
  <c r="K65" i="5"/>
  <c r="K66" i="5"/>
  <c r="K68" i="5"/>
  <c r="K69" i="5"/>
  <c r="L69" i="5"/>
  <c r="J68" i="5"/>
  <c r="J65" i="5"/>
  <c r="K49" i="5"/>
  <c r="K50" i="5"/>
  <c r="K51" i="5"/>
  <c r="K52" i="5"/>
  <c r="L52" i="5"/>
  <c r="K53" i="5"/>
  <c r="K54" i="5"/>
  <c r="L54" i="5"/>
  <c r="J54" i="5"/>
  <c r="J53" i="5"/>
  <c r="J52" i="5"/>
  <c r="J51" i="5"/>
  <c r="J50" i="5"/>
  <c r="J49" i="5"/>
  <c r="C123" i="5"/>
  <c r="D107" i="5"/>
  <c r="E108" i="5"/>
  <c r="E110" i="5"/>
  <c r="E112" i="5"/>
  <c r="C112" i="5"/>
  <c r="C111" i="5"/>
  <c r="C110" i="5"/>
  <c r="C109" i="5"/>
  <c r="C108" i="5"/>
  <c r="Q67" i="8"/>
  <c r="Q50" i="8"/>
  <c r="Q48" i="8"/>
  <c r="U48" i="8"/>
  <c r="Q65" i="8"/>
  <c r="U65" i="8"/>
  <c r="Q49" i="8"/>
  <c r="U49" i="8"/>
  <c r="Q66" i="8"/>
  <c r="U66" i="8"/>
  <c r="U32" i="8"/>
  <c r="Q64" i="8"/>
  <c r="U64" i="8"/>
  <c r="Q47" i="8"/>
  <c r="U47" i="8"/>
  <c r="U64" i="6"/>
  <c r="S18" i="4"/>
  <c r="N25" i="8"/>
  <c r="C107" i="5"/>
  <c r="C96" i="5"/>
  <c r="C95" i="5"/>
  <c r="C84" i="5"/>
  <c r="E69" i="5"/>
  <c r="C69" i="5"/>
  <c r="C68" i="5"/>
  <c r="C66" i="5"/>
  <c r="C65" i="5"/>
  <c r="E52" i="5"/>
  <c r="E54" i="5"/>
  <c r="D49" i="5"/>
  <c r="D51" i="5"/>
  <c r="D52" i="5"/>
  <c r="D53" i="5"/>
  <c r="D54" i="5"/>
  <c r="L34" i="5"/>
  <c r="L36" i="5"/>
  <c r="L38" i="5"/>
  <c r="J38" i="5"/>
  <c r="J37" i="5"/>
  <c r="J36" i="5"/>
  <c r="J35" i="5"/>
  <c r="J34" i="5"/>
  <c r="E34" i="5"/>
  <c r="E36" i="5"/>
  <c r="E38" i="5"/>
  <c r="C38" i="5"/>
  <c r="C37" i="5"/>
  <c r="C36" i="5"/>
  <c r="C35" i="5"/>
  <c r="C34" i="5"/>
  <c r="L127" i="5"/>
  <c r="L126" i="5"/>
  <c r="E126" i="5"/>
  <c r="E127" i="5"/>
  <c r="J122" i="5"/>
  <c r="C122" i="5"/>
  <c r="L114" i="5"/>
  <c r="L115" i="5"/>
  <c r="E114" i="5"/>
  <c r="E115" i="5"/>
  <c r="J106" i="5"/>
  <c r="C106" i="5"/>
  <c r="L98" i="5"/>
  <c r="L99" i="5"/>
  <c r="J94" i="5"/>
  <c r="E98" i="5"/>
  <c r="E99" i="5"/>
  <c r="C94" i="5"/>
  <c r="L86" i="5"/>
  <c r="L87" i="5"/>
  <c r="E86" i="5"/>
  <c r="E87" i="5"/>
  <c r="J83" i="5"/>
  <c r="C83" i="5"/>
  <c r="L72" i="5"/>
  <c r="L73" i="5"/>
  <c r="E72" i="5"/>
  <c r="E73" i="5"/>
  <c r="J64" i="5"/>
  <c r="C64" i="5"/>
  <c r="J48" i="5"/>
  <c r="L56" i="5"/>
  <c r="L57" i="5"/>
  <c r="E56" i="5"/>
  <c r="E57" i="5"/>
  <c r="L41" i="5"/>
  <c r="L40" i="5"/>
  <c r="J33" i="5"/>
  <c r="J21" i="5"/>
  <c r="C21" i="5"/>
  <c r="C33" i="5"/>
  <c r="E40" i="5"/>
  <c r="E41" i="5"/>
  <c r="L25" i="5"/>
  <c r="L26" i="5"/>
  <c r="E26" i="5"/>
  <c r="E25" i="5"/>
  <c r="J22" i="5"/>
  <c r="L23" i="5"/>
  <c r="E23" i="5"/>
  <c r="C22" i="5"/>
  <c r="J11" i="5"/>
  <c r="J10" i="5"/>
  <c r="C11" i="5"/>
  <c r="C10" i="5"/>
  <c r="E18" i="4"/>
  <c r="E150" i="4"/>
  <c r="E93" i="10"/>
  <c r="L18" i="4"/>
  <c r="L182" i="4"/>
  <c r="S250" i="4"/>
  <c r="S249" i="4"/>
  <c r="Q246" i="4"/>
  <c r="S239" i="4"/>
  <c r="S238" i="4"/>
  <c r="S234" i="4"/>
  <c r="U234" i="4" s="1"/>
  <c r="Q236" i="4"/>
  <c r="Q235" i="4"/>
  <c r="Q234" i="4"/>
  <c r="S227" i="4"/>
  <c r="S226" i="4"/>
  <c r="S222" i="4"/>
  <c r="U222" i="4" s="1"/>
  <c r="Q224" i="4"/>
  <c r="Q223" i="4"/>
  <c r="Q222" i="4"/>
  <c r="S215" i="4"/>
  <c r="S214" i="4"/>
  <c r="S212" i="4"/>
  <c r="Q212" i="4"/>
  <c r="Q210" i="4"/>
  <c r="S201" i="4"/>
  <c r="S200" i="4"/>
  <c r="Q197" i="4"/>
  <c r="Q196" i="4"/>
  <c r="Q184" i="4"/>
  <c r="S188" i="4"/>
  <c r="S187" i="4"/>
  <c r="S186" i="4"/>
  <c r="Q186" i="4"/>
  <c r="Q185" i="4"/>
  <c r="S182" i="4"/>
  <c r="Q183" i="4"/>
  <c r="Q182" i="4"/>
  <c r="S175" i="4"/>
  <c r="S174" i="4"/>
  <c r="S167" i="4"/>
  <c r="Q169" i="4"/>
  <c r="Q168" i="4"/>
  <c r="Q167" i="4"/>
  <c r="S160" i="4"/>
  <c r="S159" i="4"/>
  <c r="S150" i="4"/>
  <c r="Q154" i="4"/>
  <c r="Q151" i="4"/>
  <c r="Q150" i="4"/>
  <c r="S143" i="4"/>
  <c r="S142" i="4"/>
  <c r="S140" i="4"/>
  <c r="S138" i="4"/>
  <c r="S136" i="4"/>
  <c r="Q140" i="4"/>
  <c r="Q139" i="4"/>
  <c r="Q138" i="4"/>
  <c r="Q137" i="4"/>
  <c r="Q136" i="4"/>
  <c r="Q135" i="4"/>
  <c r="Q134" i="4"/>
  <c r="S127" i="4"/>
  <c r="S126" i="4"/>
  <c r="S124" i="4"/>
  <c r="S122" i="4"/>
  <c r="Q124" i="4"/>
  <c r="Q123" i="4"/>
  <c r="Q122" i="4"/>
  <c r="Q121" i="4"/>
  <c r="Q120" i="4"/>
  <c r="Q119" i="4"/>
  <c r="Q118" i="4"/>
  <c r="S111" i="4"/>
  <c r="S110" i="4"/>
  <c r="Q108" i="4"/>
  <c r="Q107" i="4"/>
  <c r="Q106" i="4"/>
  <c r="Q105" i="4"/>
  <c r="Q104" i="4"/>
  <c r="Q103" i="4"/>
  <c r="S96" i="4"/>
  <c r="S95" i="4"/>
  <c r="S22" i="4"/>
  <c r="S21" i="4"/>
  <c r="L9" i="4"/>
  <c r="N9" i="4" s="1"/>
  <c r="L250" i="4"/>
  <c r="L249" i="4"/>
  <c r="L246" i="4"/>
  <c r="J246" i="4"/>
  <c r="L239" i="4"/>
  <c r="L238" i="4"/>
  <c r="J236" i="4"/>
  <c r="J235" i="4"/>
  <c r="J234" i="4"/>
  <c r="L227" i="4"/>
  <c r="L226" i="4"/>
  <c r="J224" i="4"/>
  <c r="J223" i="4"/>
  <c r="J222" i="4"/>
  <c r="L215" i="4"/>
  <c r="L214" i="4"/>
  <c r="J212" i="4"/>
  <c r="J210" i="4"/>
  <c r="L201" i="4"/>
  <c r="L200" i="4"/>
  <c r="J197" i="4"/>
  <c r="J196" i="4"/>
  <c r="L188" i="4"/>
  <c r="L187" i="4"/>
  <c r="L186" i="4"/>
  <c r="J182" i="4"/>
  <c r="J167" i="4"/>
  <c r="J150" i="4"/>
  <c r="E182" i="4"/>
  <c r="C182" i="4"/>
  <c r="C167" i="4"/>
  <c r="C150" i="4"/>
  <c r="J186" i="4"/>
  <c r="J185" i="4"/>
  <c r="J184" i="4"/>
  <c r="J183" i="4"/>
  <c r="L175" i="4"/>
  <c r="L174" i="4"/>
  <c r="J169" i="4"/>
  <c r="J168" i="4"/>
  <c r="L160" i="4"/>
  <c r="L159" i="4"/>
  <c r="J154" i="4"/>
  <c r="J151" i="4"/>
  <c r="L143" i="4"/>
  <c r="L142" i="4"/>
  <c r="L140" i="4"/>
  <c r="L138" i="4"/>
  <c r="L136" i="4"/>
  <c r="L135" i="4"/>
  <c r="J140" i="4"/>
  <c r="J139" i="4"/>
  <c r="J138" i="4"/>
  <c r="J137" i="4"/>
  <c r="J136" i="4"/>
  <c r="J135" i="4"/>
  <c r="J134" i="4"/>
  <c r="L127" i="4"/>
  <c r="L126" i="4"/>
  <c r="L124" i="4"/>
  <c r="L122" i="4"/>
  <c r="L119" i="4"/>
  <c r="J124" i="4"/>
  <c r="J123" i="4"/>
  <c r="J122" i="4"/>
  <c r="J121" i="4"/>
  <c r="J120" i="4"/>
  <c r="J119" i="4"/>
  <c r="J118" i="4"/>
  <c r="L111" i="4"/>
  <c r="L110" i="4"/>
  <c r="J108" i="4"/>
  <c r="J107" i="4"/>
  <c r="J106" i="4"/>
  <c r="J105" i="4"/>
  <c r="J104" i="4"/>
  <c r="J103" i="4"/>
  <c r="L96" i="4"/>
  <c r="L95" i="4"/>
  <c r="L92" i="4"/>
  <c r="L80" i="4"/>
  <c r="L79" i="4"/>
  <c r="L78" i="4"/>
  <c r="L69" i="4"/>
  <c r="L68" i="4"/>
  <c r="L65" i="4"/>
  <c r="L64" i="4"/>
  <c r="L22" i="4"/>
  <c r="L21" i="4"/>
  <c r="L19" i="4"/>
  <c r="N19" i="4" s="1"/>
  <c r="E250" i="4"/>
  <c r="E249" i="4"/>
  <c r="E239" i="4"/>
  <c r="E238" i="4"/>
  <c r="E227" i="4"/>
  <c r="E226" i="4"/>
  <c r="E222" i="4"/>
  <c r="E215" i="4"/>
  <c r="E214" i="4"/>
  <c r="E201" i="4"/>
  <c r="E200" i="4"/>
  <c r="E188" i="4"/>
  <c r="E187" i="4"/>
  <c r="E186" i="4"/>
  <c r="E183" i="4"/>
  <c r="G183" i="4" s="1"/>
  <c r="E175" i="4"/>
  <c r="E174" i="4"/>
  <c r="E168" i="4"/>
  <c r="G168" i="4" s="1"/>
  <c r="E160" i="4"/>
  <c r="E159" i="4"/>
  <c r="E143" i="4"/>
  <c r="E142" i="4"/>
  <c r="E140" i="4"/>
  <c r="E138" i="4"/>
  <c r="E136" i="4"/>
  <c r="E127" i="4"/>
  <c r="E126" i="4"/>
  <c r="E124" i="4"/>
  <c r="E122" i="4"/>
  <c r="E111" i="4"/>
  <c r="E110" i="4"/>
  <c r="E104" i="4"/>
  <c r="G104" i="4" s="1"/>
  <c r="E96" i="4"/>
  <c r="E95" i="4"/>
  <c r="E92" i="4"/>
  <c r="G92" i="4" s="1"/>
  <c r="E81" i="4"/>
  <c r="E80" i="4"/>
  <c r="E79" i="4"/>
  <c r="E77" i="4"/>
  <c r="E65" i="4"/>
  <c r="E64" i="4"/>
  <c r="E22" i="4"/>
  <c r="E21" i="4"/>
  <c r="E19" i="4"/>
  <c r="G19" i="4" s="1"/>
  <c r="Q245" i="4"/>
  <c r="Q233" i="4"/>
  <c r="Q221" i="4"/>
  <c r="Q207" i="4"/>
  <c r="Q194" i="4"/>
  <c r="Q181" i="4"/>
  <c r="Q166" i="4"/>
  <c r="Q149" i="4"/>
  <c r="Q133" i="4"/>
  <c r="Q117" i="4"/>
  <c r="Q102" i="4"/>
  <c r="Q90" i="4"/>
  <c r="Q17" i="4"/>
  <c r="J245" i="4"/>
  <c r="J233" i="4"/>
  <c r="J221" i="4"/>
  <c r="J207" i="4"/>
  <c r="J194" i="4"/>
  <c r="J181" i="4"/>
  <c r="J166" i="4"/>
  <c r="J149" i="4"/>
  <c r="J133" i="4"/>
  <c r="J117" i="4"/>
  <c r="J102" i="4"/>
  <c r="J90" i="4"/>
  <c r="J17" i="4"/>
  <c r="C245" i="4"/>
  <c r="C233" i="4"/>
  <c r="C221" i="4"/>
  <c r="C207" i="4"/>
  <c r="C194" i="4"/>
  <c r="C181" i="4"/>
  <c r="C166" i="4"/>
  <c r="C149" i="4"/>
  <c r="C133" i="4"/>
  <c r="C117" i="4"/>
  <c r="C102" i="4"/>
  <c r="C90" i="4"/>
  <c r="C17" i="4"/>
  <c r="E9" i="4"/>
  <c r="E40" i="7"/>
  <c r="C246" i="4"/>
  <c r="C236" i="4"/>
  <c r="C235" i="4"/>
  <c r="C234" i="4"/>
  <c r="C224" i="4"/>
  <c r="C223" i="4"/>
  <c r="C222" i="4"/>
  <c r="C212" i="4"/>
  <c r="C210" i="4"/>
  <c r="C197" i="4"/>
  <c r="C196" i="4"/>
  <c r="C186" i="4"/>
  <c r="C185" i="4"/>
  <c r="C184" i="4"/>
  <c r="C183" i="4"/>
  <c r="C169" i="4"/>
  <c r="C168" i="4"/>
  <c r="C154" i="4"/>
  <c r="C151" i="4"/>
  <c r="C140" i="4"/>
  <c r="C139" i="4"/>
  <c r="C138" i="4"/>
  <c r="C137" i="4"/>
  <c r="C136" i="4"/>
  <c r="C135" i="4"/>
  <c r="C134" i="4"/>
  <c r="C124" i="4"/>
  <c r="C123" i="4"/>
  <c r="C122" i="4"/>
  <c r="C121" i="4"/>
  <c r="C120" i="4"/>
  <c r="C119" i="4"/>
  <c r="C118" i="4"/>
  <c r="C108" i="4"/>
  <c r="C107" i="4"/>
  <c r="C106" i="4"/>
  <c r="C105" i="4"/>
  <c r="C104" i="4"/>
  <c r="C103" i="4"/>
  <c r="Q92" i="4"/>
  <c r="Q91" i="4"/>
  <c r="J92" i="4"/>
  <c r="J91" i="4"/>
  <c r="C92" i="4"/>
  <c r="C91" i="4"/>
  <c r="Q94" i="4"/>
  <c r="J94" i="4"/>
  <c r="C94" i="4"/>
  <c r="Q93" i="4"/>
  <c r="J93" i="4"/>
  <c r="C93" i="4"/>
  <c r="C79" i="4"/>
  <c r="C78" i="4"/>
  <c r="C77" i="4"/>
  <c r="C75" i="4"/>
  <c r="C74" i="4"/>
  <c r="Q20" i="4"/>
  <c r="Q19" i="4"/>
  <c r="J20" i="4"/>
  <c r="C20" i="4"/>
  <c r="J19" i="4"/>
  <c r="C19" i="4"/>
  <c r="E167" i="4"/>
  <c r="L167" i="4"/>
  <c r="L150" i="4"/>
  <c r="C73" i="4"/>
  <c r="C62" i="4"/>
  <c r="C72" i="4"/>
  <c r="J65" i="4"/>
  <c r="J64" i="4"/>
  <c r="J78" i="4"/>
  <c r="J77" i="4"/>
  <c r="T46" i="4"/>
  <c r="M46" i="4"/>
  <c r="F46" i="4"/>
  <c r="T56" i="5"/>
  <c r="T26" i="5"/>
  <c r="T78" i="4"/>
  <c r="M121" i="5"/>
  <c r="F121" i="5"/>
  <c r="M105" i="5"/>
  <c r="F105" i="5"/>
  <c r="M93" i="5"/>
  <c r="F93" i="5"/>
  <c r="M82" i="5"/>
  <c r="F82" i="5"/>
  <c r="F63" i="5"/>
  <c r="F47" i="5"/>
  <c r="F32" i="5"/>
  <c r="F20" i="5"/>
  <c r="T245" i="4"/>
  <c r="M245" i="4"/>
  <c r="F245" i="4"/>
  <c r="T233" i="4"/>
  <c r="M233" i="4"/>
  <c r="F233" i="4"/>
  <c r="T221" i="4"/>
  <c r="M221" i="4"/>
  <c r="F221" i="4"/>
  <c r="T207" i="4"/>
  <c r="M207" i="4"/>
  <c r="F207" i="4"/>
  <c r="T194" i="4"/>
  <c r="M194" i="4"/>
  <c r="F194" i="4"/>
  <c r="T181" i="4"/>
  <c r="M181" i="4"/>
  <c r="F181" i="4"/>
  <c r="T166" i="4"/>
  <c r="M166" i="4"/>
  <c r="F166" i="4"/>
  <c r="T149" i="4"/>
  <c r="M149" i="4"/>
  <c r="F149" i="4"/>
  <c r="T133" i="4"/>
  <c r="M133" i="4"/>
  <c r="F133" i="4"/>
  <c r="T117" i="4"/>
  <c r="M117" i="4"/>
  <c r="F117" i="4"/>
  <c r="T102" i="4"/>
  <c r="M102" i="4"/>
  <c r="F102" i="4"/>
  <c r="T90" i="4"/>
  <c r="M90" i="4"/>
  <c r="F90" i="4"/>
  <c r="M17" i="4"/>
  <c r="F17" i="4"/>
  <c r="F17" i="12"/>
  <c r="F16" i="12"/>
  <c r="F15" i="12"/>
  <c r="F14" i="12"/>
  <c r="F13" i="12"/>
  <c r="F12" i="12"/>
  <c r="F11" i="12"/>
  <c r="F10" i="12"/>
  <c r="F9" i="12"/>
  <c r="G9" i="9"/>
  <c r="F9" i="9"/>
  <c r="G8" i="9"/>
  <c r="F8" i="9"/>
  <c r="F7" i="9"/>
  <c r="N127" i="5"/>
  <c r="M127" i="5"/>
  <c r="G127" i="5"/>
  <c r="F127" i="5"/>
  <c r="N126" i="5"/>
  <c r="M126" i="5"/>
  <c r="G126" i="5"/>
  <c r="F126" i="5"/>
  <c r="M125" i="5"/>
  <c r="F125" i="5"/>
  <c r="N124" i="5"/>
  <c r="M124" i="5"/>
  <c r="G124" i="5"/>
  <c r="F124" i="5"/>
  <c r="M123" i="5"/>
  <c r="F123" i="5"/>
  <c r="M122" i="5"/>
  <c r="F122" i="5"/>
  <c r="N115" i="5"/>
  <c r="M115" i="5"/>
  <c r="G115" i="5"/>
  <c r="F115" i="5"/>
  <c r="N114" i="5"/>
  <c r="M114" i="5"/>
  <c r="G114" i="5"/>
  <c r="F114" i="5"/>
  <c r="M113" i="5"/>
  <c r="F113" i="5"/>
  <c r="N112" i="5"/>
  <c r="M112" i="5"/>
  <c r="G112" i="5"/>
  <c r="F112" i="5"/>
  <c r="M111" i="5"/>
  <c r="F111" i="5"/>
  <c r="N110" i="5"/>
  <c r="M110" i="5"/>
  <c r="G110" i="5"/>
  <c r="F110" i="5"/>
  <c r="M109" i="5"/>
  <c r="F109" i="5"/>
  <c r="N108" i="5"/>
  <c r="M108" i="5"/>
  <c r="G108" i="5"/>
  <c r="F108" i="5"/>
  <c r="M107" i="5"/>
  <c r="F107" i="5"/>
  <c r="M106" i="5"/>
  <c r="F106" i="5"/>
  <c r="M96" i="5"/>
  <c r="F96" i="5"/>
  <c r="N99" i="5"/>
  <c r="M99" i="5"/>
  <c r="G99" i="5"/>
  <c r="F99" i="5"/>
  <c r="N98" i="5"/>
  <c r="M98" i="5"/>
  <c r="G98" i="5"/>
  <c r="F98" i="5"/>
  <c r="M97" i="5"/>
  <c r="F97" i="5"/>
  <c r="M95" i="5"/>
  <c r="F95" i="5"/>
  <c r="M94" i="5"/>
  <c r="F94" i="5"/>
  <c r="N87" i="5"/>
  <c r="M87" i="5"/>
  <c r="G87" i="5"/>
  <c r="F87" i="5"/>
  <c r="N86" i="5"/>
  <c r="M86" i="5"/>
  <c r="G86" i="5"/>
  <c r="F86" i="5"/>
  <c r="M85" i="5"/>
  <c r="F85" i="5"/>
  <c r="M84" i="5"/>
  <c r="F84" i="5"/>
  <c r="M83" i="5"/>
  <c r="F83" i="5"/>
  <c r="N73" i="5"/>
  <c r="M73" i="5"/>
  <c r="G73" i="5"/>
  <c r="F73" i="5"/>
  <c r="N72" i="5"/>
  <c r="M72" i="5"/>
  <c r="G72" i="5"/>
  <c r="F72" i="5"/>
  <c r="M71" i="5"/>
  <c r="F71" i="5"/>
  <c r="N70" i="5"/>
  <c r="M70" i="5"/>
  <c r="G70" i="5"/>
  <c r="F70" i="5"/>
  <c r="N69" i="5"/>
  <c r="M69" i="5"/>
  <c r="G69" i="5"/>
  <c r="F69" i="5"/>
  <c r="M68" i="5"/>
  <c r="F68" i="5"/>
  <c r="N67" i="5"/>
  <c r="M67" i="5"/>
  <c r="G67" i="5"/>
  <c r="F67" i="5"/>
  <c r="M66" i="5"/>
  <c r="F66" i="5"/>
  <c r="M65" i="5"/>
  <c r="F65" i="5"/>
  <c r="M64" i="5"/>
  <c r="F64" i="5"/>
  <c r="M63" i="5"/>
  <c r="M50" i="5"/>
  <c r="F50" i="5"/>
  <c r="N57" i="5"/>
  <c r="M57" i="5"/>
  <c r="G57" i="5"/>
  <c r="F57" i="5"/>
  <c r="N56" i="5"/>
  <c r="M56" i="5"/>
  <c r="G56" i="5"/>
  <c r="F56" i="5"/>
  <c r="M55" i="5"/>
  <c r="F55" i="5"/>
  <c r="N54" i="5"/>
  <c r="M54" i="5"/>
  <c r="G54" i="5"/>
  <c r="F54" i="5"/>
  <c r="M53" i="5"/>
  <c r="F53" i="5"/>
  <c r="N52" i="5"/>
  <c r="M52" i="5"/>
  <c r="G52" i="5"/>
  <c r="F52" i="5"/>
  <c r="M51" i="5"/>
  <c r="F51" i="5"/>
  <c r="M49" i="5"/>
  <c r="F49" i="5"/>
  <c r="M48" i="5"/>
  <c r="F48" i="5"/>
  <c r="M47" i="5"/>
  <c r="N34" i="5"/>
  <c r="N36" i="5"/>
  <c r="M34" i="5"/>
  <c r="M35" i="5"/>
  <c r="M36" i="5"/>
  <c r="G34" i="5"/>
  <c r="G36" i="5"/>
  <c r="F34" i="5"/>
  <c r="F35" i="5"/>
  <c r="F36" i="5"/>
  <c r="N41" i="5"/>
  <c r="M41" i="5"/>
  <c r="G41" i="5"/>
  <c r="F41" i="5"/>
  <c r="N40" i="5"/>
  <c r="M40" i="5"/>
  <c r="G40" i="5"/>
  <c r="F40" i="5"/>
  <c r="M39" i="5"/>
  <c r="F39" i="5"/>
  <c r="N38" i="5"/>
  <c r="M38" i="5"/>
  <c r="G38" i="5"/>
  <c r="F38" i="5"/>
  <c r="M37" i="5"/>
  <c r="F37" i="5"/>
  <c r="M33" i="5"/>
  <c r="F33" i="5"/>
  <c r="M32" i="5"/>
  <c r="N26" i="5"/>
  <c r="M26" i="5"/>
  <c r="G26" i="5"/>
  <c r="F26" i="5"/>
  <c r="N25" i="5"/>
  <c r="M25" i="5"/>
  <c r="G25" i="5"/>
  <c r="F25" i="5"/>
  <c r="M24" i="5"/>
  <c r="F24" i="5"/>
  <c r="N23" i="5"/>
  <c r="M23" i="5"/>
  <c r="G23" i="5"/>
  <c r="F23" i="5"/>
  <c r="M22" i="5"/>
  <c r="F22" i="5"/>
  <c r="M21" i="5"/>
  <c r="F21" i="5"/>
  <c r="M20" i="5"/>
  <c r="U62" i="5"/>
  <c r="T62" i="5"/>
  <c r="U61" i="5"/>
  <c r="T61" i="5"/>
  <c r="T59" i="5"/>
  <c r="T58" i="5"/>
  <c r="T57" i="5"/>
  <c r="U55" i="5"/>
  <c r="T55" i="5"/>
  <c r="T54" i="5"/>
  <c r="U53" i="5"/>
  <c r="T53" i="5"/>
  <c r="U52" i="5"/>
  <c r="T52" i="5"/>
  <c r="T51" i="5"/>
  <c r="T49" i="5"/>
  <c r="T48" i="5"/>
  <c r="T47" i="5"/>
  <c r="T46" i="5"/>
  <c r="T45" i="5"/>
  <c r="T44" i="5"/>
  <c r="T43" i="5"/>
  <c r="T42" i="5"/>
  <c r="T41" i="5"/>
  <c r="T40" i="5"/>
  <c r="T39" i="5"/>
  <c r="T38" i="5"/>
  <c r="U32" i="5"/>
  <c r="T32" i="5"/>
  <c r="U31" i="5"/>
  <c r="T31" i="5"/>
  <c r="T29" i="5"/>
  <c r="T28" i="5"/>
  <c r="T27" i="5"/>
  <c r="U25" i="5"/>
  <c r="T25" i="5"/>
  <c r="T24" i="5"/>
  <c r="U23" i="5"/>
  <c r="T23" i="5"/>
  <c r="U22" i="5"/>
  <c r="T22" i="5"/>
  <c r="T21" i="5"/>
  <c r="T19" i="5"/>
  <c r="T18" i="5"/>
  <c r="T17" i="5"/>
  <c r="T16" i="5"/>
  <c r="T15" i="5"/>
  <c r="T14" i="5"/>
  <c r="T13" i="5"/>
  <c r="T12" i="5"/>
  <c r="T11" i="5"/>
  <c r="T10" i="5"/>
  <c r="T9" i="5"/>
  <c r="T8" i="5"/>
  <c r="T39" i="4"/>
  <c r="M39" i="4"/>
  <c r="F39" i="4"/>
  <c r="M12" i="5"/>
  <c r="F12" i="5"/>
  <c r="N14" i="5"/>
  <c r="M14" i="5"/>
  <c r="G14" i="5"/>
  <c r="F14" i="5"/>
  <c r="N13" i="5"/>
  <c r="M13" i="5"/>
  <c r="G13" i="5"/>
  <c r="F13" i="5"/>
  <c r="M11" i="5"/>
  <c r="F11" i="5"/>
  <c r="M10" i="5"/>
  <c r="F10" i="5"/>
  <c r="M9" i="5"/>
  <c r="F9" i="5"/>
  <c r="M8" i="5"/>
  <c r="F8" i="5"/>
  <c r="U250" i="4"/>
  <c r="T250" i="4"/>
  <c r="N250" i="4"/>
  <c r="M250" i="4"/>
  <c r="G250" i="4"/>
  <c r="F250" i="4"/>
  <c r="U249" i="4"/>
  <c r="T249" i="4"/>
  <c r="N249" i="4"/>
  <c r="M249" i="4"/>
  <c r="G249" i="4"/>
  <c r="F249" i="4"/>
  <c r="U248" i="4"/>
  <c r="T248" i="4"/>
  <c r="N248" i="4"/>
  <c r="M248" i="4"/>
  <c r="G248" i="4"/>
  <c r="F248" i="4"/>
  <c r="T247" i="4"/>
  <c r="M247" i="4"/>
  <c r="F247" i="4"/>
  <c r="T246" i="4"/>
  <c r="N246" i="4"/>
  <c r="M246" i="4"/>
  <c r="F246" i="4"/>
  <c r="U239" i="4"/>
  <c r="T239" i="4"/>
  <c r="N239" i="4"/>
  <c r="M239" i="4"/>
  <c r="G239" i="4"/>
  <c r="F239" i="4"/>
  <c r="U238" i="4"/>
  <c r="T238" i="4"/>
  <c r="N238" i="4"/>
  <c r="M238" i="4"/>
  <c r="G238" i="4"/>
  <c r="F238" i="4"/>
  <c r="U237" i="4"/>
  <c r="T237" i="4"/>
  <c r="N237" i="4"/>
  <c r="M237" i="4"/>
  <c r="G237" i="4"/>
  <c r="F237" i="4"/>
  <c r="T236" i="4"/>
  <c r="M236" i="4"/>
  <c r="F236" i="4"/>
  <c r="T235" i="4"/>
  <c r="M235" i="4"/>
  <c r="F235" i="4"/>
  <c r="T234" i="4"/>
  <c r="M234" i="4"/>
  <c r="F234" i="4"/>
  <c r="U227" i="4"/>
  <c r="T227" i="4"/>
  <c r="N227" i="4"/>
  <c r="M227" i="4"/>
  <c r="G227" i="4"/>
  <c r="F227" i="4"/>
  <c r="U226" i="4"/>
  <c r="T226" i="4"/>
  <c r="N226" i="4"/>
  <c r="M226" i="4"/>
  <c r="G226" i="4"/>
  <c r="F226" i="4"/>
  <c r="U225" i="4"/>
  <c r="T225" i="4"/>
  <c r="N225" i="4"/>
  <c r="M225" i="4"/>
  <c r="G225" i="4"/>
  <c r="F225" i="4"/>
  <c r="T224" i="4"/>
  <c r="M224" i="4"/>
  <c r="F224" i="4"/>
  <c r="T223" i="4"/>
  <c r="M223" i="4"/>
  <c r="F223" i="4"/>
  <c r="T222" i="4"/>
  <c r="M222" i="4"/>
  <c r="G222" i="4"/>
  <c r="F222" i="4"/>
  <c r="U215" i="4"/>
  <c r="T215" i="4"/>
  <c r="N215" i="4"/>
  <c r="M215" i="4"/>
  <c r="G215" i="4"/>
  <c r="F215" i="4"/>
  <c r="U214" i="4"/>
  <c r="T214" i="4"/>
  <c r="N214" i="4"/>
  <c r="M214" i="4"/>
  <c r="G214" i="4"/>
  <c r="F214" i="4"/>
  <c r="U213" i="4"/>
  <c r="T213" i="4"/>
  <c r="N213" i="4"/>
  <c r="M213" i="4"/>
  <c r="G213" i="4"/>
  <c r="F213" i="4"/>
  <c r="U212" i="4"/>
  <c r="T212" i="4"/>
  <c r="M212" i="4"/>
  <c r="F212" i="4"/>
  <c r="U211" i="4"/>
  <c r="T211" i="4"/>
  <c r="N211" i="4"/>
  <c r="M211" i="4"/>
  <c r="G211" i="4"/>
  <c r="F211" i="4"/>
  <c r="T210" i="4"/>
  <c r="M210" i="4"/>
  <c r="F210" i="4"/>
  <c r="T209" i="4"/>
  <c r="M209" i="4"/>
  <c r="F209" i="4"/>
  <c r="T208" i="4"/>
  <c r="M208" i="4"/>
  <c r="F208" i="4"/>
  <c r="U201" i="4"/>
  <c r="T201" i="4"/>
  <c r="N201" i="4"/>
  <c r="M201" i="4"/>
  <c r="G201" i="4"/>
  <c r="F201" i="4"/>
  <c r="U200" i="4"/>
  <c r="T200" i="4"/>
  <c r="N200" i="4"/>
  <c r="M200" i="4"/>
  <c r="G200" i="4"/>
  <c r="F200" i="4"/>
  <c r="U199" i="4"/>
  <c r="T199" i="4"/>
  <c r="N199" i="4"/>
  <c r="M199" i="4"/>
  <c r="G199" i="4"/>
  <c r="F199" i="4"/>
  <c r="T198" i="4"/>
  <c r="M198" i="4"/>
  <c r="G198" i="4"/>
  <c r="F198" i="4"/>
  <c r="T197" i="4"/>
  <c r="M197" i="4"/>
  <c r="F197" i="4"/>
  <c r="T196" i="4"/>
  <c r="M196" i="4"/>
  <c r="F196" i="4"/>
  <c r="T195" i="4"/>
  <c r="N195" i="4"/>
  <c r="M195" i="4"/>
  <c r="G195" i="4"/>
  <c r="F195" i="4"/>
  <c r="T185" i="4"/>
  <c r="T186" i="4"/>
  <c r="U186" i="4"/>
  <c r="M185" i="4"/>
  <c r="M186" i="4"/>
  <c r="N186" i="4"/>
  <c r="F185" i="4"/>
  <c r="F186" i="4"/>
  <c r="G186" i="4"/>
  <c r="U188" i="4"/>
  <c r="T188" i="4"/>
  <c r="N188" i="4"/>
  <c r="M188" i="4"/>
  <c r="G188" i="4"/>
  <c r="F188" i="4"/>
  <c r="U187" i="4"/>
  <c r="T187" i="4"/>
  <c r="N187" i="4"/>
  <c r="M187" i="4"/>
  <c r="G187" i="4"/>
  <c r="F187" i="4"/>
  <c r="T184" i="4"/>
  <c r="M184" i="4"/>
  <c r="F184" i="4"/>
  <c r="T183" i="4"/>
  <c r="M183" i="4"/>
  <c r="F183" i="4"/>
  <c r="U182" i="4"/>
  <c r="T182" i="4"/>
  <c r="N182" i="4"/>
  <c r="M182" i="4"/>
  <c r="G182" i="4"/>
  <c r="F182" i="4"/>
  <c r="U83" i="4"/>
  <c r="T83" i="4"/>
  <c r="T49" i="4"/>
  <c r="M49" i="4"/>
  <c r="F49" i="4"/>
  <c r="U175" i="4"/>
  <c r="T175" i="4"/>
  <c r="N175" i="4"/>
  <c r="M175" i="4"/>
  <c r="G175" i="4"/>
  <c r="F175" i="4"/>
  <c r="U174" i="4"/>
  <c r="T174" i="4"/>
  <c r="N174" i="4"/>
  <c r="M174" i="4"/>
  <c r="G174" i="4"/>
  <c r="F174" i="4"/>
  <c r="T173" i="4"/>
  <c r="M173" i="4"/>
  <c r="F173" i="4"/>
  <c r="T172" i="4"/>
  <c r="M172" i="4"/>
  <c r="F172" i="4"/>
  <c r="U170" i="4"/>
  <c r="T170" i="4"/>
  <c r="N170" i="4"/>
  <c r="M170" i="4"/>
  <c r="G170" i="4"/>
  <c r="F170" i="4"/>
  <c r="T169" i="4"/>
  <c r="M169" i="4"/>
  <c r="F169" i="4"/>
  <c r="T168" i="4"/>
  <c r="M168" i="4"/>
  <c r="F168" i="4"/>
  <c r="U167" i="4"/>
  <c r="T167" i="4"/>
  <c r="N167" i="4"/>
  <c r="M167" i="4"/>
  <c r="G167" i="4"/>
  <c r="F167" i="4"/>
  <c r="U160" i="4"/>
  <c r="T160" i="4"/>
  <c r="N160" i="4"/>
  <c r="M160" i="4"/>
  <c r="G160" i="4"/>
  <c r="F160" i="4"/>
  <c r="U159" i="4"/>
  <c r="T159" i="4"/>
  <c r="N159" i="4"/>
  <c r="M159" i="4"/>
  <c r="G159" i="4"/>
  <c r="F159" i="4"/>
  <c r="T158" i="4"/>
  <c r="M158" i="4"/>
  <c r="F158" i="4"/>
  <c r="T157" i="4"/>
  <c r="M157" i="4"/>
  <c r="F157" i="4"/>
  <c r="T156" i="4"/>
  <c r="M156" i="4"/>
  <c r="F156" i="4"/>
  <c r="U155" i="4"/>
  <c r="T155" i="4"/>
  <c r="N155" i="4"/>
  <c r="M155" i="4"/>
  <c r="G155" i="4"/>
  <c r="F155" i="4"/>
  <c r="T154" i="4"/>
  <c r="M154" i="4"/>
  <c r="F154" i="4"/>
  <c r="U152" i="4"/>
  <c r="T152" i="4"/>
  <c r="N152" i="4"/>
  <c r="M152" i="4"/>
  <c r="G152" i="4"/>
  <c r="F152" i="4"/>
  <c r="T151" i="4"/>
  <c r="M151" i="4"/>
  <c r="F151" i="4"/>
  <c r="U150" i="4"/>
  <c r="T150" i="4"/>
  <c r="N150" i="4"/>
  <c r="M150" i="4"/>
  <c r="G150" i="4"/>
  <c r="F150" i="4"/>
  <c r="U143" i="4"/>
  <c r="T143" i="4"/>
  <c r="N143" i="4"/>
  <c r="M143" i="4"/>
  <c r="G143" i="4"/>
  <c r="F143" i="4"/>
  <c r="U142" i="4"/>
  <c r="T142" i="4"/>
  <c r="N142" i="4"/>
  <c r="M142" i="4"/>
  <c r="G142" i="4"/>
  <c r="F142" i="4"/>
  <c r="T141" i="4"/>
  <c r="M141" i="4"/>
  <c r="F141" i="4"/>
  <c r="U140" i="4"/>
  <c r="T140" i="4"/>
  <c r="N140" i="4"/>
  <c r="M140" i="4"/>
  <c r="G140" i="4"/>
  <c r="F140" i="4"/>
  <c r="T139" i="4"/>
  <c r="M139" i="4"/>
  <c r="F139" i="4"/>
  <c r="U138" i="4"/>
  <c r="T138" i="4"/>
  <c r="N138" i="4"/>
  <c r="M138" i="4"/>
  <c r="G138" i="4"/>
  <c r="F138" i="4"/>
  <c r="T137" i="4"/>
  <c r="M137" i="4"/>
  <c r="F137" i="4"/>
  <c r="U136" i="4"/>
  <c r="T136" i="4"/>
  <c r="N136" i="4"/>
  <c r="M136" i="4"/>
  <c r="G136" i="4"/>
  <c r="F136" i="4"/>
  <c r="T135" i="4"/>
  <c r="N135" i="4"/>
  <c r="M135" i="4"/>
  <c r="F135" i="4"/>
  <c r="T134" i="4"/>
  <c r="M134" i="4"/>
  <c r="F134" i="4"/>
  <c r="U124" i="4"/>
  <c r="T124" i="4"/>
  <c r="M124" i="4"/>
  <c r="N124" i="4"/>
  <c r="G124" i="4"/>
  <c r="F124" i="4"/>
  <c r="U127" i="4"/>
  <c r="T127" i="4"/>
  <c r="N127" i="4"/>
  <c r="M127" i="4"/>
  <c r="G127" i="4"/>
  <c r="F127" i="4"/>
  <c r="U126" i="4"/>
  <c r="T126" i="4"/>
  <c r="N126" i="4"/>
  <c r="M126" i="4"/>
  <c r="G126" i="4"/>
  <c r="F126" i="4"/>
  <c r="T125" i="4"/>
  <c r="N125" i="4"/>
  <c r="M125" i="4"/>
  <c r="F125" i="4"/>
  <c r="T123" i="4"/>
  <c r="M123" i="4"/>
  <c r="F123" i="4"/>
  <c r="U122" i="4"/>
  <c r="T122" i="4"/>
  <c r="N122" i="4"/>
  <c r="M122" i="4"/>
  <c r="G122" i="4"/>
  <c r="F122" i="4"/>
  <c r="T121" i="4"/>
  <c r="M121" i="4"/>
  <c r="F121" i="4"/>
  <c r="T120" i="4"/>
  <c r="M120" i="4"/>
  <c r="F120" i="4"/>
  <c r="T119" i="4"/>
  <c r="N119" i="4"/>
  <c r="M119" i="4"/>
  <c r="F119" i="4"/>
  <c r="T118" i="4"/>
  <c r="M118" i="4"/>
  <c r="F118" i="4"/>
  <c r="T106" i="4"/>
  <c r="T107" i="4"/>
  <c r="T108" i="4"/>
  <c r="M106" i="4"/>
  <c r="M107" i="4"/>
  <c r="M108" i="4"/>
  <c r="F106" i="4"/>
  <c r="F107" i="4"/>
  <c r="F108" i="4"/>
  <c r="U111" i="4"/>
  <c r="T111" i="4"/>
  <c r="N111" i="4"/>
  <c r="M111" i="4"/>
  <c r="G111" i="4"/>
  <c r="F111" i="4"/>
  <c r="U110" i="4"/>
  <c r="T110" i="4"/>
  <c r="N110" i="4"/>
  <c r="M110" i="4"/>
  <c r="G110" i="4"/>
  <c r="F110" i="4"/>
  <c r="T109" i="4"/>
  <c r="N109" i="4"/>
  <c r="M109" i="4"/>
  <c r="F109" i="4"/>
  <c r="T105" i="4"/>
  <c r="M105" i="4"/>
  <c r="F105" i="4"/>
  <c r="T104" i="4"/>
  <c r="M104" i="4"/>
  <c r="F104" i="4"/>
  <c r="T103" i="4"/>
  <c r="M103" i="4"/>
  <c r="F103" i="4"/>
  <c r="U96" i="4"/>
  <c r="T96" i="4"/>
  <c r="U95" i="4"/>
  <c r="T95" i="4"/>
  <c r="T94" i="4"/>
  <c r="T93" i="4"/>
  <c r="T92" i="4"/>
  <c r="T91" i="4"/>
  <c r="G96" i="4"/>
  <c r="F96" i="4"/>
  <c r="G95" i="4"/>
  <c r="F95" i="4"/>
  <c r="F94" i="4"/>
  <c r="F93" i="4"/>
  <c r="F92" i="4"/>
  <c r="F91" i="4"/>
  <c r="N96" i="4"/>
  <c r="M96" i="4"/>
  <c r="N95" i="4"/>
  <c r="M95" i="4"/>
  <c r="M94" i="4"/>
  <c r="M93" i="4"/>
  <c r="N92" i="4"/>
  <c r="M92" i="4"/>
  <c r="M91" i="4"/>
  <c r="N69" i="4"/>
  <c r="M69" i="4"/>
  <c r="N68" i="4"/>
  <c r="M68" i="4"/>
  <c r="M76" i="4"/>
  <c r="M77" i="4"/>
  <c r="M78" i="4"/>
  <c r="N78" i="4"/>
  <c r="M79" i="4"/>
  <c r="N79" i="4"/>
  <c r="M80" i="4"/>
  <c r="N80" i="4"/>
  <c r="M67" i="4"/>
  <c r="N66" i="4"/>
  <c r="M66" i="4"/>
  <c r="G81" i="4"/>
  <c r="F81" i="4"/>
  <c r="G80" i="4"/>
  <c r="F80" i="4"/>
  <c r="G79" i="4"/>
  <c r="F79" i="4"/>
  <c r="F78" i="4"/>
  <c r="G77" i="4"/>
  <c r="F77" i="4"/>
  <c r="F76" i="4"/>
  <c r="F75" i="4"/>
  <c r="F74" i="4"/>
  <c r="F73" i="4"/>
  <c r="F72" i="4"/>
  <c r="F71" i="4"/>
  <c r="U84" i="4"/>
  <c r="T84" i="4"/>
  <c r="T82" i="4"/>
  <c r="T81" i="4"/>
  <c r="T80" i="4"/>
  <c r="T79" i="4"/>
  <c r="U77" i="4"/>
  <c r="T77" i="4"/>
  <c r="T76" i="4"/>
  <c r="U75" i="4"/>
  <c r="T75" i="4"/>
  <c r="U74" i="4"/>
  <c r="T74" i="4"/>
  <c r="T73" i="4"/>
  <c r="U72" i="4"/>
  <c r="T72" i="4"/>
  <c r="T70" i="4"/>
  <c r="T69" i="4"/>
  <c r="T68" i="4"/>
  <c r="T67" i="4"/>
  <c r="T66" i="4"/>
  <c r="T65" i="4"/>
  <c r="T64" i="4"/>
  <c r="T63" i="4"/>
  <c r="T62" i="4"/>
  <c r="T61" i="4"/>
  <c r="T60" i="4"/>
  <c r="N65" i="4"/>
  <c r="M65" i="4"/>
  <c r="G65" i="4"/>
  <c r="F65" i="4"/>
  <c r="N64" i="4"/>
  <c r="M64" i="4"/>
  <c r="G64" i="4"/>
  <c r="F64" i="4"/>
  <c r="N63" i="4"/>
  <c r="M63" i="4"/>
  <c r="F63" i="4"/>
  <c r="N62" i="4"/>
  <c r="M62" i="4"/>
  <c r="F62" i="4"/>
  <c r="M61" i="4"/>
  <c r="F61" i="4"/>
  <c r="U40" i="4"/>
  <c r="U42" i="4"/>
  <c r="U43" i="4"/>
  <c r="U45" i="4"/>
  <c r="U50" i="4"/>
  <c r="U51" i="4"/>
  <c r="U52" i="4"/>
  <c r="T29" i="4"/>
  <c r="T30" i="4"/>
  <c r="T31" i="4"/>
  <c r="T32" i="4"/>
  <c r="T33" i="4"/>
  <c r="T34" i="4"/>
  <c r="T35" i="4"/>
  <c r="T36" i="4"/>
  <c r="T37" i="4"/>
  <c r="T38" i="4"/>
  <c r="T40" i="4"/>
  <c r="T41" i="4"/>
  <c r="T42" i="4"/>
  <c r="T43" i="4"/>
  <c r="T44" i="4"/>
  <c r="T45" i="4"/>
  <c r="T47" i="4"/>
  <c r="T48" i="4"/>
  <c r="T50" i="4"/>
  <c r="T51" i="4"/>
  <c r="T52" i="4"/>
  <c r="N40" i="4"/>
  <c r="N42" i="4"/>
  <c r="N43" i="4"/>
  <c r="N45" i="4"/>
  <c r="N51" i="4"/>
  <c r="M29" i="4"/>
  <c r="M30" i="4"/>
  <c r="M31" i="4"/>
  <c r="M32" i="4"/>
  <c r="M33" i="4"/>
  <c r="M34" i="4"/>
  <c r="M35" i="4"/>
  <c r="M36" i="4"/>
  <c r="M37" i="4"/>
  <c r="M38" i="4"/>
  <c r="M40" i="4"/>
  <c r="M41" i="4"/>
  <c r="M42" i="4"/>
  <c r="M43" i="4"/>
  <c r="M44" i="4"/>
  <c r="M45" i="4"/>
  <c r="M47" i="4"/>
  <c r="M48" i="4"/>
  <c r="M50" i="4"/>
  <c r="M51" i="4"/>
  <c r="G38" i="4"/>
  <c r="G40" i="4"/>
  <c r="G41" i="4"/>
  <c r="G42" i="4"/>
  <c r="G43" i="4"/>
  <c r="G45" i="4"/>
  <c r="G50" i="4"/>
  <c r="G51" i="4"/>
  <c r="F29" i="4"/>
  <c r="F30" i="4"/>
  <c r="F31" i="4"/>
  <c r="F32" i="4"/>
  <c r="F33" i="4"/>
  <c r="F34" i="4"/>
  <c r="F35" i="4"/>
  <c r="F36" i="4"/>
  <c r="F37" i="4"/>
  <c r="F38" i="4"/>
  <c r="F40" i="4"/>
  <c r="F41" i="4"/>
  <c r="F42" i="4"/>
  <c r="F43" i="4"/>
  <c r="F44" i="4"/>
  <c r="F45" i="4"/>
  <c r="F47" i="4"/>
  <c r="F48" i="4"/>
  <c r="F50" i="4"/>
  <c r="F51" i="4"/>
  <c r="F94" i="10"/>
  <c r="F95" i="10"/>
  <c r="G96" i="10"/>
  <c r="F96" i="10"/>
  <c r="G93" i="10"/>
  <c r="F93" i="10"/>
  <c r="F92" i="10"/>
  <c r="U18" i="4"/>
  <c r="U21" i="4"/>
  <c r="T18" i="4"/>
  <c r="T19" i="4"/>
  <c r="T20" i="4"/>
  <c r="T21" i="4"/>
  <c r="U10" i="4"/>
  <c r="T8" i="4"/>
  <c r="T9" i="4"/>
  <c r="T10" i="4"/>
  <c r="N18" i="4"/>
  <c r="N21" i="4"/>
  <c r="M18" i="4"/>
  <c r="M19" i="4"/>
  <c r="M20" i="4"/>
  <c r="M21" i="4"/>
  <c r="G18" i="4"/>
  <c r="G21" i="4"/>
  <c r="F18" i="4"/>
  <c r="F19" i="4"/>
  <c r="F20" i="4"/>
  <c r="F21" i="4"/>
  <c r="N10" i="4"/>
  <c r="M8" i="4"/>
  <c r="M9" i="4"/>
  <c r="M10" i="4"/>
  <c r="F8" i="4"/>
  <c r="F9" i="4"/>
  <c r="F10" i="4"/>
  <c r="G9" i="4"/>
  <c r="G10" i="4"/>
  <c r="F28" i="4"/>
  <c r="M28" i="4"/>
  <c r="T28" i="4"/>
  <c r="F52" i="4"/>
  <c r="G52" i="4"/>
  <c r="M52" i="4"/>
  <c r="N52" i="4"/>
  <c r="U22" i="4"/>
  <c r="T22" i="4"/>
  <c r="N22" i="4"/>
  <c r="M22" i="4"/>
  <c r="G22" i="4"/>
  <c r="F22" i="4"/>
  <c r="T17" i="4"/>
  <c r="U11" i="4"/>
  <c r="T11" i="4"/>
  <c r="T7" i="4"/>
  <c r="N11" i="4"/>
  <c r="M11" i="4"/>
  <c r="M7" i="4"/>
  <c r="G11" i="4"/>
  <c r="F11" i="4"/>
  <c r="F7" i="4"/>
  <c r="N81" i="10"/>
  <c r="N82" i="10"/>
  <c r="N83" i="10"/>
  <c r="M81" i="10"/>
  <c r="M82" i="10"/>
  <c r="M83" i="10"/>
  <c r="N84" i="10"/>
  <c r="M84" i="10"/>
  <c r="N80" i="10"/>
  <c r="M80" i="10"/>
  <c r="M79" i="10"/>
  <c r="N73" i="10"/>
  <c r="M73" i="10"/>
  <c r="N72" i="10"/>
  <c r="M72" i="10"/>
  <c r="M71" i="10"/>
  <c r="M70" i="10"/>
  <c r="N64" i="10"/>
  <c r="M64" i="10"/>
  <c r="N63" i="10"/>
  <c r="M63" i="10"/>
  <c r="N62" i="10"/>
  <c r="M62" i="10"/>
  <c r="M61" i="10"/>
  <c r="N55" i="10"/>
  <c r="M55" i="10"/>
  <c r="N54" i="10"/>
  <c r="M54" i="10"/>
  <c r="N53" i="10"/>
  <c r="M53" i="10"/>
  <c r="M52" i="10"/>
  <c r="N46" i="10"/>
  <c r="M46" i="10"/>
  <c r="N45" i="10"/>
  <c r="M45" i="10"/>
  <c r="N44" i="10"/>
  <c r="M44" i="10"/>
  <c r="M43" i="10"/>
  <c r="N37" i="10"/>
  <c r="M37" i="10"/>
  <c r="N36" i="10"/>
  <c r="M36" i="10"/>
  <c r="M35" i="10"/>
  <c r="M34" i="10"/>
  <c r="N28" i="10"/>
  <c r="M28" i="10"/>
  <c r="N27" i="10"/>
  <c r="M27" i="10"/>
  <c r="N26" i="10"/>
  <c r="M26" i="10"/>
  <c r="M25" i="10"/>
  <c r="N19" i="10"/>
  <c r="M19" i="10"/>
  <c r="N18" i="10"/>
  <c r="M18" i="10"/>
  <c r="N17" i="10"/>
  <c r="M17" i="10"/>
  <c r="M16" i="10"/>
  <c r="N10" i="10"/>
  <c r="M10" i="10"/>
  <c r="N9" i="10"/>
  <c r="M9" i="10"/>
  <c r="M8" i="10"/>
  <c r="M7" i="10"/>
  <c r="G86" i="10"/>
  <c r="F86" i="10"/>
  <c r="G85" i="10"/>
  <c r="F85" i="10"/>
  <c r="G84" i="10"/>
  <c r="F84" i="10"/>
  <c r="G78" i="10"/>
  <c r="F78" i="10"/>
  <c r="G77" i="10"/>
  <c r="F77" i="10"/>
  <c r="F76" i="10"/>
  <c r="G62" i="10"/>
  <c r="F62" i="10"/>
  <c r="F61" i="10"/>
  <c r="G60" i="10"/>
  <c r="F60" i="10"/>
  <c r="G54" i="10"/>
  <c r="F54" i="10"/>
  <c r="F53" i="10"/>
  <c r="G52" i="10"/>
  <c r="F52" i="10"/>
  <c r="G70" i="10"/>
  <c r="F70" i="10"/>
  <c r="G69" i="10"/>
  <c r="F69" i="10"/>
  <c r="F68" i="10"/>
  <c r="F45" i="10"/>
  <c r="G46" i="10"/>
  <c r="F46" i="10"/>
  <c r="G44" i="10"/>
  <c r="F44" i="10"/>
  <c r="G43" i="10"/>
  <c r="F43" i="10"/>
  <c r="F42" i="10"/>
  <c r="G36" i="10"/>
  <c r="F36" i="10"/>
  <c r="G35" i="10"/>
  <c r="F35" i="10"/>
  <c r="G34" i="10"/>
  <c r="F34" i="10"/>
  <c r="F33" i="10"/>
  <c r="F25" i="10"/>
  <c r="G27" i="10"/>
  <c r="F27" i="10"/>
  <c r="G26" i="10"/>
  <c r="F26" i="10"/>
  <c r="F24" i="10"/>
  <c r="F23" i="10"/>
  <c r="G16" i="10"/>
  <c r="F16" i="10"/>
  <c r="G15" i="10"/>
  <c r="F15" i="10"/>
  <c r="G17" i="10"/>
  <c r="F17" i="10"/>
  <c r="F14" i="10"/>
  <c r="F8" i="10"/>
  <c r="F7" i="10"/>
  <c r="G80" i="10"/>
  <c r="L7" i="6" l="1"/>
  <c r="L26" i="6" s="1"/>
  <c r="N26" i="6" s="1"/>
  <c r="L46" i="6"/>
  <c r="N46" i="6" s="1"/>
  <c r="L102" i="6"/>
  <c r="N102" i="6" s="1"/>
  <c r="S46" i="6"/>
  <c r="U46" i="6" s="1"/>
  <c r="L120" i="6"/>
  <c r="N120" i="6" s="1"/>
  <c r="L82" i="6"/>
  <c r="N82" i="6" s="1"/>
  <c r="S75" i="6"/>
  <c r="S61" i="6"/>
  <c r="U61" i="6" s="1"/>
  <c r="S31" i="6"/>
  <c r="U31" i="6" s="1"/>
  <c r="S64" i="4"/>
  <c r="U64" i="4" s="1"/>
  <c r="S12" i="5"/>
  <c r="L32" i="4"/>
  <c r="N32" i="4" s="1"/>
  <c r="G32" i="4"/>
  <c r="S32" i="4"/>
  <c r="U32" i="4" s="1"/>
  <c r="S116" i="6"/>
  <c r="U116" i="6" s="1"/>
  <c r="U57" i="8"/>
  <c r="S8" i="6"/>
  <c r="U8" i="6" s="1"/>
  <c r="P66" i="1"/>
  <c r="S7" i="6"/>
  <c r="U7" i="6" s="1"/>
  <c r="E65" i="6" s="1"/>
  <c r="G65" i="6" s="1"/>
  <c r="L63" i="1"/>
  <c r="L25" i="10"/>
  <c r="N25" i="10" s="1"/>
  <c r="N21" i="10" s="1"/>
  <c r="L61" i="10"/>
  <c r="N61" i="10" s="1"/>
  <c r="N57" i="10" s="1"/>
  <c r="L43" i="10"/>
  <c r="N43" i="10" s="1"/>
  <c r="N39" i="10" s="1"/>
  <c r="S20" i="7"/>
  <c r="E247" i="4"/>
  <c r="E42" i="10"/>
  <c r="G42" i="10" s="1"/>
  <c r="E33" i="10"/>
  <c r="G33" i="10" s="1"/>
  <c r="G29" i="10" s="1"/>
  <c r="E85" i="6"/>
  <c r="G85" i="6" s="1"/>
  <c r="L85" i="6"/>
  <c r="N85" i="6" s="1"/>
  <c r="P58" i="1"/>
  <c r="L57" i="8"/>
  <c r="N57" i="8" s="1"/>
  <c r="E103" i="6"/>
  <c r="L54" i="1"/>
  <c r="E94" i="10"/>
  <c r="G94" i="10" s="1"/>
  <c r="L67" i="4"/>
  <c r="N67" i="4" s="1"/>
  <c r="S11" i="12"/>
  <c r="U11" i="12" s="1"/>
  <c r="S63" i="6"/>
  <c r="U63" i="6" s="1"/>
  <c r="E173" i="4"/>
  <c r="L23" i="9"/>
  <c r="N23" i="9" s="1"/>
  <c r="N19" i="9" s="1"/>
  <c r="S18" i="8"/>
  <c r="E23" i="9"/>
  <c r="G23" i="9" s="1"/>
  <c r="G19" i="9" s="1"/>
  <c r="E73" i="7"/>
  <c r="E29" i="12"/>
  <c r="G29" i="12" s="1"/>
  <c r="E172" i="4"/>
  <c r="S29" i="8"/>
  <c r="E157" i="4"/>
  <c r="E209" i="4"/>
  <c r="P17" i="1"/>
  <c r="S12" i="6"/>
  <c r="U12" i="6" s="1"/>
  <c r="G208" i="4"/>
  <c r="L208" i="4"/>
  <c r="S28" i="5"/>
  <c r="S48" i="4"/>
  <c r="E94" i="4"/>
  <c r="G94" i="4" s="1"/>
  <c r="L48" i="4"/>
  <c r="S80" i="4"/>
  <c r="U80" i="4" s="1"/>
  <c r="G48" i="4"/>
  <c r="L24" i="7"/>
  <c r="E123" i="4"/>
  <c r="G123" i="4" s="1"/>
  <c r="L41" i="4"/>
  <c r="E137" i="4"/>
  <c r="G137" i="4" s="1"/>
  <c r="S41" i="4"/>
  <c r="S21" i="5"/>
  <c r="S28" i="8"/>
  <c r="E156" i="4"/>
  <c r="L46" i="4"/>
  <c r="N46" i="4" s="1"/>
  <c r="G46" i="4"/>
  <c r="S78" i="4"/>
  <c r="U78" i="4" s="1"/>
  <c r="S26" i="5"/>
  <c r="S46" i="4"/>
  <c r="U46" i="4" s="1"/>
  <c r="S44" i="4"/>
  <c r="G44" i="4"/>
  <c r="S24" i="5"/>
  <c r="S76" i="4"/>
  <c r="U76" i="4" s="1"/>
  <c r="L44" i="4"/>
  <c r="E139" i="4"/>
  <c r="G139" i="4" s="1"/>
  <c r="S27" i="5"/>
  <c r="L47" i="4"/>
  <c r="N47" i="4" s="1"/>
  <c r="G47" i="4"/>
  <c r="S79" i="4"/>
  <c r="U79" i="4" s="1"/>
  <c r="S47" i="4"/>
  <c r="U47" i="4" s="1"/>
  <c r="E15" i="9"/>
  <c r="G15" i="9" s="1"/>
  <c r="G11" i="9" s="1"/>
  <c r="L15" i="9"/>
  <c r="N15" i="9" s="1"/>
  <c r="N11" i="9" s="1"/>
  <c r="S82" i="6"/>
  <c r="L83" i="6"/>
  <c r="N83" i="6" s="1"/>
  <c r="E56" i="8"/>
  <c r="G56" i="8" s="1"/>
  <c r="E9" i="6"/>
  <c r="G9" i="6" s="1"/>
  <c r="L28" i="6"/>
  <c r="N28" i="6" s="1"/>
  <c r="E28" i="6"/>
  <c r="G28" i="6" s="1"/>
  <c r="L65" i="6"/>
  <c r="N65" i="6" s="1"/>
  <c r="E39" i="8"/>
  <c r="G39" i="8" s="1"/>
  <c r="E31" i="4"/>
  <c r="L9" i="7"/>
  <c r="E49" i="4"/>
  <c r="P92" i="1"/>
  <c r="E18" i="6"/>
  <c r="L34" i="10"/>
  <c r="N34" i="10" s="1"/>
  <c r="L70" i="10"/>
  <c r="N70" i="10" s="1"/>
  <c r="L52" i="10"/>
  <c r="N52" i="10" s="1"/>
  <c r="N48" i="10" s="1"/>
  <c r="L16" i="10"/>
  <c r="N16" i="10" s="1"/>
  <c r="N12" i="10" s="1"/>
  <c r="L7" i="10"/>
  <c r="N7" i="10" s="1"/>
  <c r="N3" i="10"/>
  <c r="E14" i="10"/>
  <c r="G14" i="10" s="1"/>
  <c r="G10" i="10" s="1"/>
  <c r="E7" i="10"/>
  <c r="G7" i="10" s="1"/>
  <c r="G3" i="10" s="1"/>
  <c r="E45" i="10"/>
  <c r="G45" i="10" s="1"/>
  <c r="G38" i="10" s="1"/>
  <c r="E23" i="10"/>
  <c r="G23" i="10" s="1"/>
  <c r="E37" i="4"/>
  <c r="S47" i="7"/>
  <c r="U33" i="6"/>
  <c r="L35" i="10"/>
  <c r="N35" i="10" s="1"/>
  <c r="N30" i="10" s="1"/>
  <c r="L71" i="10"/>
  <c r="N71" i="10" s="1"/>
  <c r="N24" i="8"/>
  <c r="N198" i="4"/>
  <c r="E139" i="6"/>
  <c r="S48" i="6"/>
  <c r="U48" i="6" s="1"/>
  <c r="E29" i="6"/>
  <c r="E25" i="10"/>
  <c r="G25" i="10" s="1"/>
  <c r="G19" i="10" s="1"/>
  <c r="E30" i="4"/>
  <c r="S8" i="5"/>
  <c r="S60" i="4"/>
  <c r="U60" i="4" s="1"/>
  <c r="E120" i="4"/>
  <c r="G120" i="4" s="1"/>
  <c r="G28" i="4"/>
  <c r="S28" i="4"/>
  <c r="L28" i="4"/>
  <c r="E105" i="4"/>
  <c r="G105" i="4" s="1"/>
  <c r="E121" i="4"/>
  <c r="G121" i="4" s="1"/>
  <c r="S29" i="4"/>
  <c r="E60" i="7"/>
  <c r="G60" i="7" s="1"/>
  <c r="E107" i="4"/>
  <c r="G107" i="4" s="1"/>
  <c r="G29" i="4"/>
  <c r="S61" i="4"/>
  <c r="U61" i="4" s="1"/>
  <c r="L29" i="4"/>
  <c r="S9" i="5"/>
  <c r="E44" i="8"/>
  <c r="G44" i="8" s="1"/>
  <c r="G27" i="8"/>
  <c r="U78" i="6"/>
  <c r="S93" i="6"/>
  <c r="U26" i="8"/>
  <c r="S78" i="8"/>
  <c r="N50" i="4"/>
  <c r="L28" i="8"/>
  <c r="N28" i="8" s="1"/>
  <c r="S60" i="8"/>
  <c r="U60" i="8" s="1"/>
  <c r="E154" i="4"/>
  <c r="E212" i="4"/>
  <c r="G212" i="4" s="1"/>
  <c r="L59" i="8"/>
  <c r="L41" i="8"/>
  <c r="N41" i="8" s="1"/>
  <c r="E23" i="8"/>
  <c r="S62" i="6"/>
  <c r="E34" i="4"/>
  <c r="E9" i="8"/>
  <c r="E16" i="6"/>
  <c r="E153" i="4"/>
  <c r="E39" i="4"/>
  <c r="S11" i="6"/>
  <c r="U11" i="6" s="1"/>
  <c r="E125" i="4"/>
  <c r="G109" i="4"/>
  <c r="S196" i="4"/>
  <c r="U196" i="4" s="1"/>
  <c r="S119" i="4"/>
  <c r="U119" i="4" s="1"/>
  <c r="S19" i="4"/>
  <c r="U19" i="4" s="1"/>
  <c r="U38" i="4"/>
  <c r="S246" i="4"/>
  <c r="U246" i="4" s="1"/>
  <c r="S151" i="4"/>
  <c r="U151" i="4" s="1"/>
  <c r="S104" i="4"/>
  <c r="U104" i="4" s="1"/>
  <c r="E63" i="4"/>
  <c r="G63" i="4" s="1"/>
  <c r="S109" i="4"/>
  <c r="S168" i="4"/>
  <c r="U168" i="4" s="1"/>
  <c r="S135" i="4"/>
  <c r="U135" i="4" s="1"/>
  <c r="S92" i="4"/>
  <c r="U92" i="4" s="1"/>
  <c r="S9" i="4"/>
  <c r="E76" i="4"/>
  <c r="G76" i="4" s="1"/>
  <c r="G40" i="7"/>
  <c r="E51" i="7"/>
  <c r="G51" i="7" s="1"/>
  <c r="E74" i="7"/>
  <c r="S183" i="4"/>
  <c r="U183" i="4" s="1"/>
  <c r="E62" i="7"/>
  <c r="G62" i="7" s="1"/>
  <c r="E234" i="4"/>
  <c r="G234" i="4" s="1"/>
  <c r="E246" i="4"/>
  <c r="G246" i="4" s="1"/>
  <c r="L151" i="4"/>
  <c r="N151" i="4" s="1"/>
  <c r="L183" i="4"/>
  <c r="N183" i="4" s="1"/>
  <c r="L196" i="4"/>
  <c r="N196" i="4" s="1"/>
  <c r="N38" i="4"/>
  <c r="E119" i="4"/>
  <c r="G119" i="4" s="1"/>
  <c r="E135" i="4"/>
  <c r="G135" i="4" s="1"/>
  <c r="E151" i="4"/>
  <c r="G151" i="4" s="1"/>
  <c r="E196" i="4"/>
  <c r="G196" i="4" s="1"/>
  <c r="L104" i="4"/>
  <c r="N104" i="4" s="1"/>
  <c r="L168" i="4"/>
  <c r="N168" i="4" s="1"/>
  <c r="L222" i="4"/>
  <c r="N222" i="4" s="1"/>
  <c r="S18" i="5"/>
  <c r="S80" i="8"/>
  <c r="L79" i="10"/>
  <c r="N79" i="10" s="1"/>
  <c r="N75" i="10" s="1"/>
  <c r="E7" i="4"/>
  <c r="E8" i="5"/>
  <c r="E7" i="6"/>
  <c r="L7" i="4"/>
  <c r="S7" i="4"/>
  <c r="S9" i="12"/>
  <c r="U9" i="12" s="1"/>
  <c r="U3" i="12" s="1"/>
  <c r="U5" i="12" s="1"/>
  <c r="L17" i="8" s="1"/>
  <c r="E92" i="10"/>
  <c r="G92" i="10" s="1"/>
  <c r="L8" i="5"/>
  <c r="E7" i="7"/>
  <c r="G3" i="12"/>
  <c r="G5" i="12" s="1"/>
  <c r="L7" i="9" s="1"/>
  <c r="N7" i="9" s="1"/>
  <c r="N3" i="9" s="1"/>
  <c r="N3" i="12"/>
  <c r="N5" i="12" s="1"/>
  <c r="S8" i="4" s="1"/>
  <c r="E35" i="4"/>
  <c r="L8" i="7"/>
  <c r="E73" i="8"/>
  <c r="G73" i="8" s="1"/>
  <c r="L138" i="6" l="1"/>
  <c r="N138" i="6" s="1"/>
  <c r="L64" i="6"/>
  <c r="N64" i="6" s="1"/>
  <c r="N7" i="6"/>
  <c r="L155" i="6"/>
  <c r="N155" i="6" s="1"/>
  <c r="S90" i="6"/>
  <c r="U75" i="6"/>
  <c r="U12" i="5"/>
  <c r="S42" i="5"/>
  <c r="U42" i="5" s="1"/>
  <c r="E40" i="8"/>
  <c r="G40" i="8" s="1"/>
  <c r="E33" i="4"/>
  <c r="E8" i="6"/>
  <c r="G8" i="6" s="1"/>
  <c r="E84" i="6"/>
  <c r="G84" i="6" s="1"/>
  <c r="L84" i="6"/>
  <c r="N84" i="6" s="1"/>
  <c r="L8" i="6"/>
  <c r="N8" i="6" s="1"/>
  <c r="E83" i="6"/>
  <c r="G83" i="6" s="1"/>
  <c r="L9" i="6"/>
  <c r="N9" i="6" s="1"/>
  <c r="N66" i="10"/>
  <c r="G247" i="4"/>
  <c r="L247" i="4"/>
  <c r="U20" i="7"/>
  <c r="S32" i="7"/>
  <c r="G103" i="6"/>
  <c r="L103" i="6"/>
  <c r="N103" i="6" s="1"/>
  <c r="S85" i="8"/>
  <c r="U18" i="8"/>
  <c r="U85" i="8" s="1"/>
  <c r="L173" i="4"/>
  <c r="G173" i="4"/>
  <c r="G73" i="7"/>
  <c r="S22" i="7"/>
  <c r="U22" i="7" s="1"/>
  <c r="S10" i="7"/>
  <c r="U10" i="7" s="1"/>
  <c r="L172" i="4"/>
  <c r="G172" i="4"/>
  <c r="L157" i="4"/>
  <c r="G157" i="4"/>
  <c r="S46" i="8"/>
  <c r="U46" i="8" s="1"/>
  <c r="S81" i="6"/>
  <c r="S63" i="8"/>
  <c r="U63" i="8" s="1"/>
  <c r="U29" i="8"/>
  <c r="G209" i="4"/>
  <c r="L209" i="4"/>
  <c r="S208" i="4"/>
  <c r="U208" i="4" s="1"/>
  <c r="N208" i="4"/>
  <c r="L94" i="4"/>
  <c r="N94" i="4" s="1"/>
  <c r="N48" i="4"/>
  <c r="S94" i="4"/>
  <c r="U94" i="4" s="1"/>
  <c r="U48" i="4"/>
  <c r="S58" i="5"/>
  <c r="U58" i="5" s="1"/>
  <c r="U28" i="5"/>
  <c r="L123" i="4"/>
  <c r="N123" i="4" s="1"/>
  <c r="N41" i="4"/>
  <c r="L137" i="4"/>
  <c r="N137" i="4" s="1"/>
  <c r="E35" i="5"/>
  <c r="G35" i="5" s="1"/>
  <c r="U21" i="5"/>
  <c r="E53" i="5"/>
  <c r="G53" i="5" s="1"/>
  <c r="S51" i="5"/>
  <c r="E109" i="5"/>
  <c r="G109" i="5" s="1"/>
  <c r="S137" i="4"/>
  <c r="U137" i="4" s="1"/>
  <c r="S123" i="4"/>
  <c r="U123" i="4" s="1"/>
  <c r="E78" i="4"/>
  <c r="G78" i="4" s="1"/>
  <c r="U41" i="4"/>
  <c r="N24" i="7"/>
  <c r="L65" i="7"/>
  <c r="N65" i="7" s="1"/>
  <c r="L156" i="4"/>
  <c r="G156" i="4"/>
  <c r="S45" i="8"/>
  <c r="U45" i="8" s="1"/>
  <c r="S80" i="6"/>
  <c r="S62" i="8"/>
  <c r="U62" i="8" s="1"/>
  <c r="U28" i="8"/>
  <c r="S56" i="5"/>
  <c r="U56" i="5" s="1"/>
  <c r="U26" i="5"/>
  <c r="E37" i="5"/>
  <c r="G37" i="5" s="1"/>
  <c r="U24" i="5"/>
  <c r="S54" i="5"/>
  <c r="E111" i="5"/>
  <c r="G111" i="5" s="1"/>
  <c r="L139" i="4"/>
  <c r="N139" i="4" s="1"/>
  <c r="N44" i="4"/>
  <c r="U44" i="4"/>
  <c r="S139" i="4"/>
  <c r="U139" i="4" s="1"/>
  <c r="S57" i="5"/>
  <c r="U57" i="5" s="1"/>
  <c r="U27" i="5"/>
  <c r="E8" i="4"/>
  <c r="L8" i="4"/>
  <c r="E39" i="7"/>
  <c r="G39" i="7" s="1"/>
  <c r="S97" i="6"/>
  <c r="U82" i="6"/>
  <c r="E158" i="4"/>
  <c r="S34" i="8"/>
  <c r="G31" i="4"/>
  <c r="S63" i="4"/>
  <c r="U63" i="4" s="1"/>
  <c r="E106" i="4"/>
  <c r="G106" i="4" s="1"/>
  <c r="E93" i="4"/>
  <c r="G93" i="4" s="1"/>
  <c r="S11" i="5"/>
  <c r="S31" i="4"/>
  <c r="L31" i="4"/>
  <c r="L35" i="7"/>
  <c r="L50" i="7"/>
  <c r="N50" i="7" s="1"/>
  <c r="L21" i="7"/>
  <c r="N9" i="7"/>
  <c r="E23" i="7"/>
  <c r="G23" i="7" s="1"/>
  <c r="E112" i="6"/>
  <c r="G112" i="6" s="1"/>
  <c r="E56" i="6"/>
  <c r="G56" i="6" s="1"/>
  <c r="G18" i="6"/>
  <c r="E94" i="6"/>
  <c r="G94" i="6" s="1"/>
  <c r="E147" i="6"/>
  <c r="E167" i="6"/>
  <c r="L18" i="6"/>
  <c r="E12" i="7"/>
  <c r="E130" i="6"/>
  <c r="G130" i="6" s="1"/>
  <c r="E74" i="6"/>
  <c r="G74" i="6" s="1"/>
  <c r="E38" i="6"/>
  <c r="G38" i="6" s="1"/>
  <c r="S29" i="5"/>
  <c r="S81" i="4"/>
  <c r="U81" i="4" s="1"/>
  <c r="E185" i="4"/>
  <c r="G185" i="4" s="1"/>
  <c r="S49" i="4"/>
  <c r="G49" i="4"/>
  <c r="L49" i="4"/>
  <c r="S69" i="4"/>
  <c r="U69" i="4" s="1"/>
  <c r="L37" i="4"/>
  <c r="S17" i="5"/>
  <c r="S37" i="4"/>
  <c r="E210" i="4"/>
  <c r="G37" i="4"/>
  <c r="U47" i="7"/>
  <c r="S62" i="7"/>
  <c r="U62" i="7" s="1"/>
  <c r="E236" i="4"/>
  <c r="G236" i="4" s="1"/>
  <c r="E108" i="4"/>
  <c r="G108" i="4" s="1"/>
  <c r="S10" i="5"/>
  <c r="E224" i="4"/>
  <c r="G224" i="4" s="1"/>
  <c r="L30" i="4"/>
  <c r="S62" i="4"/>
  <c r="U62" i="4" s="1"/>
  <c r="G30" i="4"/>
  <c r="S30" i="4"/>
  <c r="G139" i="6"/>
  <c r="L139" i="6"/>
  <c r="N139" i="6" s="1"/>
  <c r="G29" i="6"/>
  <c r="L29" i="6"/>
  <c r="N29" i="6" s="1"/>
  <c r="L120" i="4"/>
  <c r="N120" i="4" s="1"/>
  <c r="N28" i="4"/>
  <c r="L105" i="4"/>
  <c r="N105" i="4" s="1"/>
  <c r="U28" i="4"/>
  <c r="E74" i="4"/>
  <c r="G74" i="4" s="1"/>
  <c r="S120" i="4"/>
  <c r="U120" i="4" s="1"/>
  <c r="S105" i="4"/>
  <c r="U105" i="4" s="1"/>
  <c r="E11" i="5"/>
  <c r="G11" i="5" s="1"/>
  <c r="U8" i="5"/>
  <c r="S38" i="5"/>
  <c r="E49" i="5"/>
  <c r="G49" i="5" s="1"/>
  <c r="L11" i="5"/>
  <c r="N11" i="5" s="1"/>
  <c r="L121" i="4"/>
  <c r="N121" i="4" s="1"/>
  <c r="L107" i="4"/>
  <c r="N107" i="4" s="1"/>
  <c r="N29" i="4"/>
  <c r="U29" i="4"/>
  <c r="S121" i="4"/>
  <c r="U121" i="4" s="1"/>
  <c r="S107" i="4"/>
  <c r="U107" i="4" s="1"/>
  <c r="E75" i="4"/>
  <c r="G75" i="4" s="1"/>
  <c r="U9" i="5"/>
  <c r="E51" i="5"/>
  <c r="G51" i="5" s="1"/>
  <c r="S39" i="5"/>
  <c r="E75" i="8"/>
  <c r="G75" i="8" s="1"/>
  <c r="N59" i="8"/>
  <c r="U93" i="6"/>
  <c r="S109" i="6"/>
  <c r="U109" i="6" s="1"/>
  <c r="L154" i="4"/>
  <c r="G154" i="4"/>
  <c r="S14" i="5"/>
  <c r="E197" i="4"/>
  <c r="G197" i="4" s="1"/>
  <c r="E169" i="4"/>
  <c r="G169" i="4" s="1"/>
  <c r="G34" i="4"/>
  <c r="S34" i="4"/>
  <c r="E223" i="4"/>
  <c r="G223" i="4" s="1"/>
  <c r="L34" i="4"/>
  <c r="S66" i="4"/>
  <c r="U66" i="4" s="1"/>
  <c r="U62" i="6"/>
  <c r="S100" i="6"/>
  <c r="U100" i="6" s="1"/>
  <c r="S40" i="8"/>
  <c r="L23" i="8"/>
  <c r="G23" i="8"/>
  <c r="E171" i="4"/>
  <c r="L171" i="4" s="1"/>
  <c r="G153" i="4"/>
  <c r="L153" i="4"/>
  <c r="E92" i="6"/>
  <c r="G92" i="6" s="1"/>
  <c r="G16" i="6"/>
  <c r="E128" i="6"/>
  <c r="G128" i="6" s="1"/>
  <c r="E10" i="7"/>
  <c r="E72" i="6"/>
  <c r="G72" i="6" s="1"/>
  <c r="E54" i="6"/>
  <c r="G54" i="6" s="1"/>
  <c r="L16" i="6"/>
  <c r="E165" i="6"/>
  <c r="E36" i="6"/>
  <c r="G36" i="6" s="1"/>
  <c r="E145" i="6"/>
  <c r="E110" i="6"/>
  <c r="G110" i="6" s="1"/>
  <c r="L74" i="8"/>
  <c r="N74" i="8" s="1"/>
  <c r="G9" i="8"/>
  <c r="G4" i="8" s="1"/>
  <c r="L9" i="8"/>
  <c r="E20" i="4"/>
  <c r="G20" i="4" s="1"/>
  <c r="L39" i="4"/>
  <c r="S39" i="4"/>
  <c r="S19" i="5"/>
  <c r="S71" i="4"/>
  <c r="E184" i="4"/>
  <c r="G184" i="4" s="1"/>
  <c r="G39" i="4"/>
  <c r="L48" i="6"/>
  <c r="N48" i="6" s="1"/>
  <c r="L104" i="6"/>
  <c r="N104" i="6" s="1"/>
  <c r="E86" i="6"/>
  <c r="G86" i="6" s="1"/>
  <c r="E104" i="6"/>
  <c r="G104" i="6" s="1"/>
  <c r="E48" i="6"/>
  <c r="G48" i="6" s="1"/>
  <c r="E10" i="6"/>
  <c r="G10" i="6" s="1"/>
  <c r="L30" i="6"/>
  <c r="N30" i="6" s="1"/>
  <c r="E30" i="6"/>
  <c r="G30" i="6" s="1"/>
  <c r="E66" i="6"/>
  <c r="G66" i="6" s="1"/>
  <c r="L122" i="6"/>
  <c r="N122" i="6" s="1"/>
  <c r="L86" i="6"/>
  <c r="N86" i="6" s="1"/>
  <c r="E122" i="6"/>
  <c r="G122" i="6" s="1"/>
  <c r="L66" i="6"/>
  <c r="N66" i="6" s="1"/>
  <c r="L10" i="6"/>
  <c r="N10" i="6" s="1"/>
  <c r="E73" i="4"/>
  <c r="G73" i="4" s="1"/>
  <c r="U9" i="4"/>
  <c r="S48" i="5"/>
  <c r="E9" i="5"/>
  <c r="G9" i="5" s="1"/>
  <c r="U18" i="5"/>
  <c r="G74" i="7"/>
  <c r="S23" i="7"/>
  <c r="U23" i="7" s="1"/>
  <c r="S11" i="7"/>
  <c r="U11" i="7" s="1"/>
  <c r="U109" i="4"/>
  <c r="S125" i="4"/>
  <c r="E141" i="4"/>
  <c r="G141" i="4" s="1"/>
  <c r="G125" i="4"/>
  <c r="E47" i="5"/>
  <c r="G47" i="5" s="1"/>
  <c r="E105" i="5"/>
  <c r="G105" i="5" s="1"/>
  <c r="E20" i="5"/>
  <c r="G20" i="5" s="1"/>
  <c r="E93" i="5"/>
  <c r="G93" i="5" s="1"/>
  <c r="L47" i="5"/>
  <c r="N47" i="5" s="1"/>
  <c r="E32" i="5"/>
  <c r="G32" i="5" s="1"/>
  <c r="E63" i="5"/>
  <c r="G63" i="5" s="1"/>
  <c r="E121" i="5"/>
  <c r="G121" i="5" s="1"/>
  <c r="G8" i="5"/>
  <c r="E82" i="5"/>
  <c r="G82" i="5" s="1"/>
  <c r="S45" i="7"/>
  <c r="U45" i="7" s="1"/>
  <c r="E70" i="7"/>
  <c r="G70" i="7" s="1"/>
  <c r="L74" i="7"/>
  <c r="N74" i="7" s="1"/>
  <c r="E21" i="7"/>
  <c r="G21" i="7" s="1"/>
  <c r="G7" i="7"/>
  <c r="S19" i="7"/>
  <c r="U19" i="7" s="1"/>
  <c r="E36" i="7"/>
  <c r="G36" i="7" s="1"/>
  <c r="L19" i="7"/>
  <c r="N19" i="7" s="1"/>
  <c r="L33" i="7"/>
  <c r="N33" i="7" s="1"/>
  <c r="S31" i="7"/>
  <c r="U31" i="7" s="1"/>
  <c r="E59" i="7"/>
  <c r="G59" i="7" s="1"/>
  <c r="E48" i="7"/>
  <c r="G48" i="7" s="1"/>
  <c r="L7" i="7"/>
  <c r="N7" i="7" s="1"/>
  <c r="L60" i="7"/>
  <c r="N60" i="7" s="1"/>
  <c r="S60" i="7"/>
  <c r="U60" i="7" s="1"/>
  <c r="L48" i="7"/>
  <c r="N48" i="7" s="1"/>
  <c r="S7" i="7"/>
  <c r="U7" i="7" s="1"/>
  <c r="E117" i="4"/>
  <c r="G117" i="4" s="1"/>
  <c r="E17" i="4"/>
  <c r="G17" i="4" s="1"/>
  <c r="G13" i="4" s="1"/>
  <c r="E221" i="4"/>
  <c r="G221" i="4" s="1"/>
  <c r="G217" i="4" s="1"/>
  <c r="E166" i="4"/>
  <c r="G166" i="4" s="1"/>
  <c r="E102" i="4"/>
  <c r="G102" i="4" s="1"/>
  <c r="E233" i="4"/>
  <c r="G233" i="4" s="1"/>
  <c r="E181" i="4"/>
  <c r="G181" i="4" s="1"/>
  <c r="E90" i="4"/>
  <c r="G90" i="4" s="1"/>
  <c r="E207" i="4"/>
  <c r="G207" i="4" s="1"/>
  <c r="E133" i="4"/>
  <c r="G133" i="4" s="1"/>
  <c r="E245" i="4"/>
  <c r="G245" i="4" s="1"/>
  <c r="G241" i="4" s="1"/>
  <c r="G7" i="4"/>
  <c r="E149" i="4"/>
  <c r="G149" i="4" s="1"/>
  <c r="E194" i="4"/>
  <c r="G194" i="4" s="1"/>
  <c r="L121" i="5"/>
  <c r="N121" i="5" s="1"/>
  <c r="L32" i="5"/>
  <c r="N32" i="5" s="1"/>
  <c r="L82" i="5"/>
  <c r="N82" i="5" s="1"/>
  <c r="N8" i="5"/>
  <c r="L20" i="5"/>
  <c r="N20" i="5" s="1"/>
  <c r="L63" i="5"/>
  <c r="N63" i="5" s="1"/>
  <c r="L105" i="5"/>
  <c r="N105" i="5" s="1"/>
  <c r="L93" i="5"/>
  <c r="N93" i="5" s="1"/>
  <c r="L233" i="4"/>
  <c r="N233" i="4" s="1"/>
  <c r="L117" i="4"/>
  <c r="N117" i="4" s="1"/>
  <c r="L194" i="4"/>
  <c r="N194" i="4" s="1"/>
  <c r="L61" i="4"/>
  <c r="N61" i="4" s="1"/>
  <c r="N57" i="4" s="1"/>
  <c r="L17" i="4"/>
  <c r="N17" i="4" s="1"/>
  <c r="L102" i="4"/>
  <c r="N102" i="4" s="1"/>
  <c r="L90" i="4"/>
  <c r="N90" i="4" s="1"/>
  <c r="L149" i="4"/>
  <c r="N149" i="4" s="1"/>
  <c r="L221" i="4"/>
  <c r="N221" i="4" s="1"/>
  <c r="L166" i="4"/>
  <c r="N166" i="4" s="1"/>
  <c r="L181" i="4"/>
  <c r="N181" i="4" s="1"/>
  <c r="L245" i="4"/>
  <c r="N245" i="4" s="1"/>
  <c r="L133" i="4"/>
  <c r="N133" i="4" s="1"/>
  <c r="L207" i="4"/>
  <c r="N207" i="4" s="1"/>
  <c r="N7" i="4"/>
  <c r="E138" i="6"/>
  <c r="G138" i="6" s="1"/>
  <c r="E120" i="6"/>
  <c r="G120" i="6" s="1"/>
  <c r="E82" i="6"/>
  <c r="G82" i="6" s="1"/>
  <c r="E46" i="6"/>
  <c r="G46" i="6" s="1"/>
  <c r="G42" i="6" s="1"/>
  <c r="E26" i="6"/>
  <c r="G26" i="6" s="1"/>
  <c r="E64" i="6"/>
  <c r="G64" i="6" s="1"/>
  <c r="G7" i="6"/>
  <c r="G3" i="6" s="1"/>
  <c r="E155" i="6"/>
  <c r="G155" i="6" s="1"/>
  <c r="E102" i="6"/>
  <c r="G102" i="6" s="1"/>
  <c r="L67" i="8"/>
  <c r="S17" i="8"/>
  <c r="N17" i="8"/>
  <c r="E33" i="8"/>
  <c r="E67" i="8"/>
  <c r="S33" i="8"/>
  <c r="S133" i="4"/>
  <c r="U133" i="4" s="1"/>
  <c r="E61" i="4"/>
  <c r="G61" i="4" s="1"/>
  <c r="S90" i="4"/>
  <c r="U90" i="4" s="1"/>
  <c r="S207" i="4"/>
  <c r="U207" i="4" s="1"/>
  <c r="S117" i="4"/>
  <c r="U117" i="4" s="1"/>
  <c r="S149" i="4"/>
  <c r="U149" i="4" s="1"/>
  <c r="S245" i="4"/>
  <c r="U245" i="4" s="1"/>
  <c r="S233" i="4"/>
  <c r="U233" i="4" s="1"/>
  <c r="S194" i="4"/>
  <c r="U194" i="4" s="1"/>
  <c r="S102" i="4"/>
  <c r="U102" i="4" s="1"/>
  <c r="S166" i="4"/>
  <c r="U166" i="4" s="1"/>
  <c r="E71" i="4"/>
  <c r="G71" i="4" s="1"/>
  <c r="S221" i="4"/>
  <c r="U221" i="4" s="1"/>
  <c r="S17" i="4"/>
  <c r="U17" i="4" s="1"/>
  <c r="S181" i="4"/>
  <c r="U181" i="4" s="1"/>
  <c r="U7" i="4"/>
  <c r="E7" i="9"/>
  <c r="G7" i="9" s="1"/>
  <c r="G3" i="9" s="1"/>
  <c r="L11" i="7"/>
  <c r="E26" i="12"/>
  <c r="G26" i="12" s="1"/>
  <c r="G19" i="12" s="1"/>
  <c r="G21" i="12" s="1"/>
  <c r="L91" i="4"/>
  <c r="N91" i="4" s="1"/>
  <c r="N8" i="4"/>
  <c r="L134" i="4"/>
  <c r="N134" i="4" s="1"/>
  <c r="N129" i="4" s="1"/>
  <c r="L103" i="4"/>
  <c r="N103" i="4" s="1"/>
  <c r="L118" i="4"/>
  <c r="N118" i="4" s="1"/>
  <c r="N113" i="4" s="1"/>
  <c r="S134" i="4"/>
  <c r="U134" i="4" s="1"/>
  <c r="S118" i="4"/>
  <c r="U118" i="4" s="1"/>
  <c r="E62" i="4"/>
  <c r="G62" i="4" s="1"/>
  <c r="S91" i="4"/>
  <c r="U91" i="4" s="1"/>
  <c r="E72" i="4"/>
  <c r="G72" i="4" s="1"/>
  <c r="U8" i="4"/>
  <c r="S103" i="4"/>
  <c r="U103" i="4" s="1"/>
  <c r="E103" i="4"/>
  <c r="G103" i="4" s="1"/>
  <c r="G98" i="4" s="1"/>
  <c r="E134" i="4"/>
  <c r="G134" i="4" s="1"/>
  <c r="L77" i="4"/>
  <c r="N77" i="4" s="1"/>
  <c r="N72" i="4" s="1"/>
  <c r="E91" i="4"/>
  <c r="G91" i="4" s="1"/>
  <c r="G8" i="4"/>
  <c r="G3" i="4" s="1"/>
  <c r="E118" i="4"/>
  <c r="G118" i="4" s="1"/>
  <c r="E95" i="10"/>
  <c r="G95" i="10" s="1"/>
  <c r="G88" i="10" s="1"/>
  <c r="E12" i="5"/>
  <c r="L12" i="5"/>
  <c r="E37" i="7"/>
  <c r="G37" i="7" s="1"/>
  <c r="N8" i="7"/>
  <c r="L20" i="7"/>
  <c r="N20" i="7" s="1"/>
  <c r="L34" i="7"/>
  <c r="N34" i="7" s="1"/>
  <c r="E235" i="4"/>
  <c r="G235" i="4" s="1"/>
  <c r="S35" i="4"/>
  <c r="S67" i="4"/>
  <c r="U67" i="4" s="1"/>
  <c r="L35" i="4"/>
  <c r="G35" i="4"/>
  <c r="S15" i="5"/>
  <c r="G229" i="4" l="1"/>
  <c r="G129" i="4"/>
  <c r="G57" i="4"/>
  <c r="S106" i="6"/>
  <c r="U106" i="6" s="1"/>
  <c r="U90" i="6"/>
  <c r="S13" i="5"/>
  <c r="L33" i="4"/>
  <c r="N33" i="4" s="1"/>
  <c r="S65" i="4"/>
  <c r="U65" i="4" s="1"/>
  <c r="S33" i="4"/>
  <c r="U33" i="4" s="1"/>
  <c r="G33" i="4"/>
  <c r="G78" i="6"/>
  <c r="U32" i="7"/>
  <c r="S61" i="7"/>
  <c r="U61" i="7" s="1"/>
  <c r="N241" i="4"/>
  <c r="S247" i="4"/>
  <c r="U247" i="4" s="1"/>
  <c r="U241" i="4" s="1"/>
  <c r="N247" i="4"/>
  <c r="S173" i="4"/>
  <c r="U173" i="4" s="1"/>
  <c r="N173" i="4"/>
  <c r="G162" i="4"/>
  <c r="S172" i="4"/>
  <c r="U172" i="4" s="1"/>
  <c r="N172" i="4"/>
  <c r="U81" i="6"/>
  <c r="S96" i="6"/>
  <c r="N157" i="4"/>
  <c r="S157" i="4"/>
  <c r="U157" i="4" s="1"/>
  <c r="S209" i="4"/>
  <c r="U209" i="4" s="1"/>
  <c r="N209" i="4"/>
  <c r="L109" i="5"/>
  <c r="N109" i="5" s="1"/>
  <c r="U51" i="5"/>
  <c r="L53" i="5"/>
  <c r="N53" i="5" s="1"/>
  <c r="L35" i="5"/>
  <c r="N35" i="5" s="1"/>
  <c r="U80" i="6"/>
  <c r="S95" i="6"/>
  <c r="S156" i="4"/>
  <c r="U156" i="4" s="1"/>
  <c r="N156" i="4"/>
  <c r="L37" i="5"/>
  <c r="N37" i="5" s="1"/>
  <c r="L111" i="5"/>
  <c r="N111" i="5" s="1"/>
  <c r="U54" i="5"/>
  <c r="G32" i="7"/>
  <c r="S51" i="8"/>
  <c r="U51" i="8" s="1"/>
  <c r="S68" i="8"/>
  <c r="U68" i="8" s="1"/>
  <c r="U34" i="8"/>
  <c r="G158" i="4"/>
  <c r="G145" i="4" s="1"/>
  <c r="L158" i="4"/>
  <c r="U97" i="6"/>
  <c r="S113" i="6"/>
  <c r="U113" i="6" s="1"/>
  <c r="N31" i="4"/>
  <c r="L106" i="4"/>
  <c r="N106" i="4" s="1"/>
  <c r="L93" i="4"/>
  <c r="N93" i="4" s="1"/>
  <c r="N86" i="4" s="1"/>
  <c r="G86" i="4"/>
  <c r="S106" i="4"/>
  <c r="U106" i="4" s="1"/>
  <c r="U98" i="4" s="1"/>
  <c r="U31" i="4"/>
  <c r="S93" i="4"/>
  <c r="U93" i="4" s="1"/>
  <c r="U86" i="4" s="1"/>
  <c r="S41" i="5"/>
  <c r="E94" i="5"/>
  <c r="G94" i="5" s="1"/>
  <c r="E33" i="5"/>
  <c r="G33" i="5" s="1"/>
  <c r="E83" i="5"/>
  <c r="G83" i="5" s="1"/>
  <c r="E21" i="5"/>
  <c r="G21" i="5" s="1"/>
  <c r="E106" i="5"/>
  <c r="G106" i="5" s="1"/>
  <c r="E10" i="5"/>
  <c r="G10" i="5" s="1"/>
  <c r="E96" i="5"/>
  <c r="G96" i="5" s="1"/>
  <c r="E122" i="5"/>
  <c r="G122" i="5" s="1"/>
  <c r="E64" i="5"/>
  <c r="G64" i="5" s="1"/>
  <c r="L10" i="5"/>
  <c r="N10" i="5" s="1"/>
  <c r="U11" i="5"/>
  <c r="E48" i="5"/>
  <c r="G48" i="5" s="1"/>
  <c r="N35" i="7"/>
  <c r="L76" i="7"/>
  <c r="N76" i="7" s="1"/>
  <c r="L62" i="7"/>
  <c r="N62" i="7" s="1"/>
  <c r="N21" i="7"/>
  <c r="S59" i="5"/>
  <c r="U59" i="5" s="1"/>
  <c r="U29" i="5"/>
  <c r="E27" i="7"/>
  <c r="G12" i="7"/>
  <c r="L39" i="7"/>
  <c r="G177" i="4"/>
  <c r="S185" i="4"/>
  <c r="U185" i="4" s="1"/>
  <c r="U49" i="4"/>
  <c r="S38" i="6"/>
  <c r="U38" i="6" s="1"/>
  <c r="L94" i="6"/>
  <c r="N94" i="6" s="1"/>
  <c r="L56" i="6"/>
  <c r="N56" i="6" s="1"/>
  <c r="N18" i="6"/>
  <c r="L112" i="6"/>
  <c r="N112" i="6" s="1"/>
  <c r="S53" i="6"/>
  <c r="U53" i="6" s="1"/>
  <c r="S67" i="6"/>
  <c r="U67" i="6" s="1"/>
  <c r="L130" i="6"/>
  <c r="N130" i="6" s="1"/>
  <c r="L74" i="6"/>
  <c r="N74" i="6" s="1"/>
  <c r="L38" i="6"/>
  <c r="N38" i="6" s="1"/>
  <c r="G167" i="6"/>
  <c r="L167" i="6"/>
  <c r="N167" i="6" s="1"/>
  <c r="N49" i="4"/>
  <c r="L185" i="4"/>
  <c r="N185" i="4" s="1"/>
  <c r="G147" i="6"/>
  <c r="L147" i="6"/>
  <c r="N147" i="6" s="1"/>
  <c r="S210" i="4"/>
  <c r="U210" i="4" s="1"/>
  <c r="U203" i="4" s="1"/>
  <c r="U37" i="4"/>
  <c r="U17" i="5"/>
  <c r="S47" i="5"/>
  <c r="U47" i="5" s="1"/>
  <c r="G203" i="4"/>
  <c r="L210" i="4"/>
  <c r="N210" i="4" s="1"/>
  <c r="N37" i="4"/>
  <c r="N203" i="4"/>
  <c r="E22" i="7"/>
  <c r="G22" i="7" s="1"/>
  <c r="G210" i="4"/>
  <c r="S236" i="4"/>
  <c r="U236" i="4" s="1"/>
  <c r="S108" i="4"/>
  <c r="U108" i="4" s="1"/>
  <c r="U30" i="4"/>
  <c r="S224" i="4"/>
  <c r="U224" i="4" s="1"/>
  <c r="S40" i="5"/>
  <c r="U10" i="5"/>
  <c r="E68" i="5"/>
  <c r="G68" i="5" s="1"/>
  <c r="E50" i="5"/>
  <c r="G50" i="5" s="1"/>
  <c r="L224" i="4"/>
  <c r="N224" i="4" s="1"/>
  <c r="N30" i="4"/>
  <c r="L236" i="4"/>
  <c r="N236" i="4" s="1"/>
  <c r="L108" i="4"/>
  <c r="N108" i="4" s="1"/>
  <c r="N98" i="4" s="1"/>
  <c r="L49" i="5"/>
  <c r="N49" i="5" s="1"/>
  <c r="U38" i="5"/>
  <c r="L51" i="5"/>
  <c r="N51" i="5" s="1"/>
  <c r="U39" i="5"/>
  <c r="N154" i="4"/>
  <c r="S154" i="4"/>
  <c r="U154" i="4" s="1"/>
  <c r="S32" i="6"/>
  <c r="U32" i="6" s="1"/>
  <c r="L75" i="8"/>
  <c r="N75" i="8" s="1"/>
  <c r="N69" i="8" s="1"/>
  <c r="N23" i="8"/>
  <c r="G190" i="4"/>
  <c r="U40" i="8"/>
  <c r="U74" i="8" s="1"/>
  <c r="S74" i="8"/>
  <c r="N34" i="4"/>
  <c r="L49" i="7"/>
  <c r="L197" i="4"/>
  <c r="N197" i="4" s="1"/>
  <c r="N190" i="4" s="1"/>
  <c r="L223" i="4"/>
  <c r="N223" i="4" s="1"/>
  <c r="N217" i="4" s="1"/>
  <c r="L169" i="4"/>
  <c r="N169" i="4" s="1"/>
  <c r="N162" i="4"/>
  <c r="S223" i="4"/>
  <c r="U223" i="4" s="1"/>
  <c r="S169" i="4"/>
  <c r="U169" i="4" s="1"/>
  <c r="U162" i="4" s="1"/>
  <c r="S197" i="4"/>
  <c r="U197" i="4" s="1"/>
  <c r="U190" i="4" s="1"/>
  <c r="U34" i="4"/>
  <c r="S44" i="5"/>
  <c r="U14" i="5"/>
  <c r="E66" i="5"/>
  <c r="G66" i="5" s="1"/>
  <c r="G60" i="6"/>
  <c r="L165" i="6"/>
  <c r="N165" i="6" s="1"/>
  <c r="N151" i="6" s="1"/>
  <c r="G165" i="6"/>
  <c r="G151" i="6" s="1"/>
  <c r="G10" i="7"/>
  <c r="E25" i="7"/>
  <c r="L38" i="7"/>
  <c r="N153" i="4"/>
  <c r="S153" i="4"/>
  <c r="S77" i="6"/>
  <c r="S51" i="6"/>
  <c r="U51" i="6" s="1"/>
  <c r="U42" i="6" s="1"/>
  <c r="L128" i="6"/>
  <c r="N128" i="6" s="1"/>
  <c r="L110" i="6"/>
  <c r="N110" i="6" s="1"/>
  <c r="N98" i="6" s="1"/>
  <c r="N16" i="6"/>
  <c r="S65" i="6"/>
  <c r="U65" i="6" s="1"/>
  <c r="U57" i="6" s="1"/>
  <c r="S36" i="6"/>
  <c r="U36" i="6" s="1"/>
  <c r="L92" i="6"/>
  <c r="N92" i="6" s="1"/>
  <c r="N78" i="6" s="1"/>
  <c r="L54" i="6"/>
  <c r="N54" i="6" s="1"/>
  <c r="L72" i="6"/>
  <c r="N72" i="6" s="1"/>
  <c r="L36" i="6"/>
  <c r="N36" i="6" s="1"/>
  <c r="N22" i="6" s="1"/>
  <c r="N4" i="8"/>
  <c r="N60" i="6"/>
  <c r="N42" i="6"/>
  <c r="E25" i="8"/>
  <c r="S25" i="8"/>
  <c r="N9" i="8"/>
  <c r="S9" i="8"/>
  <c r="E59" i="8"/>
  <c r="L145" i="6"/>
  <c r="N145" i="6" s="1"/>
  <c r="N134" i="6" s="1"/>
  <c r="G145" i="6"/>
  <c r="G134" i="6" s="1"/>
  <c r="E84" i="5"/>
  <c r="G84" i="5" s="1"/>
  <c r="U19" i="5"/>
  <c r="E107" i="5"/>
  <c r="G107" i="5" s="1"/>
  <c r="S49" i="5"/>
  <c r="E123" i="5"/>
  <c r="G123" i="5" s="1"/>
  <c r="E95" i="5"/>
  <c r="G95" i="5" s="1"/>
  <c r="E65" i="5"/>
  <c r="G65" i="5" s="1"/>
  <c r="S184" i="4"/>
  <c r="U184" i="4" s="1"/>
  <c r="U177" i="4" s="1"/>
  <c r="S20" i="4"/>
  <c r="U20" i="4" s="1"/>
  <c r="U13" i="4" s="1"/>
  <c r="U39" i="4"/>
  <c r="L20" i="4"/>
  <c r="N20" i="4" s="1"/>
  <c r="N13" i="4" s="1"/>
  <c r="N39" i="4"/>
  <c r="L184" i="4"/>
  <c r="N184" i="4" s="1"/>
  <c r="N177" i="4" s="1"/>
  <c r="G116" i="6"/>
  <c r="G98" i="6"/>
  <c r="G22" i="6"/>
  <c r="L122" i="5"/>
  <c r="N122" i="5" s="1"/>
  <c r="L64" i="5"/>
  <c r="N64" i="5" s="1"/>
  <c r="L9" i="5"/>
  <c r="N9" i="5" s="1"/>
  <c r="L94" i="5"/>
  <c r="N94" i="5" s="1"/>
  <c r="L33" i="5"/>
  <c r="N33" i="5" s="1"/>
  <c r="L106" i="5"/>
  <c r="N106" i="5" s="1"/>
  <c r="L48" i="5"/>
  <c r="N48" i="5" s="1"/>
  <c r="U48" i="5"/>
  <c r="L83" i="5"/>
  <c r="N83" i="5" s="1"/>
  <c r="L21" i="5"/>
  <c r="N21" i="5" s="1"/>
  <c r="U113" i="4"/>
  <c r="U125" i="4"/>
  <c r="S141" i="4"/>
  <c r="U141" i="4" s="1"/>
  <c r="U129" i="4" s="1"/>
  <c r="S84" i="8"/>
  <c r="L34" i="8"/>
  <c r="N34" i="8" s="1"/>
  <c r="U17" i="8"/>
  <c r="U3" i="4"/>
  <c r="L51" i="8"/>
  <c r="N51" i="8" s="1"/>
  <c r="G67" i="8"/>
  <c r="E83" i="8"/>
  <c r="G83" i="8" s="1"/>
  <c r="N67" i="8"/>
  <c r="U33" i="8"/>
  <c r="S50" i="8"/>
  <c r="U50" i="8" s="1"/>
  <c r="S67" i="8"/>
  <c r="U67" i="8" s="1"/>
  <c r="G113" i="4"/>
  <c r="G67" i="4"/>
  <c r="N3" i="4"/>
  <c r="E50" i="8"/>
  <c r="G50" i="8" s="1"/>
  <c r="G33" i="8"/>
  <c r="E36" i="4"/>
  <c r="E49" i="7"/>
  <c r="G49" i="7" s="1"/>
  <c r="L25" i="7"/>
  <c r="E72" i="7"/>
  <c r="G72" i="7" s="1"/>
  <c r="G66" i="7" s="1"/>
  <c r="N11" i="7"/>
  <c r="N3" i="7" s="1"/>
  <c r="S21" i="7"/>
  <c r="U21" i="7" s="1"/>
  <c r="U15" i="7" s="1"/>
  <c r="E61" i="7"/>
  <c r="G61" i="7" s="1"/>
  <c r="G55" i="7" s="1"/>
  <c r="E50" i="7"/>
  <c r="G50" i="7" s="1"/>
  <c r="L52" i="7"/>
  <c r="N52" i="7" s="1"/>
  <c r="S9" i="7"/>
  <c r="U9" i="7" s="1"/>
  <c r="E53" i="10"/>
  <c r="G53" i="10" s="1"/>
  <c r="G48" i="10" s="1"/>
  <c r="E61" i="10"/>
  <c r="G61" i="10" s="1"/>
  <c r="G56" i="10" s="1"/>
  <c r="E24" i="5"/>
  <c r="G24" i="5" s="1"/>
  <c r="E85" i="5"/>
  <c r="G85" i="5" s="1"/>
  <c r="G78" i="5" s="1"/>
  <c r="G12" i="5"/>
  <c r="E125" i="5"/>
  <c r="G125" i="5" s="1"/>
  <c r="E97" i="5"/>
  <c r="G97" i="5" s="1"/>
  <c r="G89" i="5" s="1"/>
  <c r="E71" i="5"/>
  <c r="G71" i="5" s="1"/>
  <c r="L55" i="5"/>
  <c r="N55" i="5" s="1"/>
  <c r="E113" i="5"/>
  <c r="G113" i="5" s="1"/>
  <c r="E39" i="5"/>
  <c r="G39" i="5" s="1"/>
  <c r="E55" i="5"/>
  <c r="G55" i="5" s="1"/>
  <c r="L125" i="5"/>
  <c r="N125" i="5" s="1"/>
  <c r="L24" i="5"/>
  <c r="N24" i="5" s="1"/>
  <c r="N12" i="5"/>
  <c r="N4" i="5" s="1"/>
  <c r="L39" i="5"/>
  <c r="N39" i="5" s="1"/>
  <c r="L85" i="5"/>
  <c r="N85" i="5" s="1"/>
  <c r="L113" i="5"/>
  <c r="N113" i="5" s="1"/>
  <c r="L71" i="5"/>
  <c r="N71" i="5" s="1"/>
  <c r="L97" i="5"/>
  <c r="N97" i="5" s="1"/>
  <c r="S235" i="4"/>
  <c r="U235" i="4" s="1"/>
  <c r="U35" i="4"/>
  <c r="S45" i="5"/>
  <c r="U15" i="5"/>
  <c r="E22" i="5"/>
  <c r="G22" i="5" s="1"/>
  <c r="G16" i="5" s="1"/>
  <c r="L235" i="4"/>
  <c r="N235" i="4" s="1"/>
  <c r="N229" i="4" s="1"/>
  <c r="N35" i="4"/>
  <c r="S43" i="5" l="1"/>
  <c r="U43" i="5" s="1"/>
  <c r="U13" i="5"/>
  <c r="U229" i="4"/>
  <c r="S112" i="6"/>
  <c r="U112" i="6" s="1"/>
  <c r="U96" i="6"/>
  <c r="N28" i="5"/>
  <c r="S111" i="6"/>
  <c r="U111" i="6" s="1"/>
  <c r="U95" i="6"/>
  <c r="S158" i="4"/>
  <c r="U158" i="4" s="1"/>
  <c r="N158" i="4"/>
  <c r="G117" i="5"/>
  <c r="G43" i="5"/>
  <c r="G4" i="5"/>
  <c r="U41" i="5"/>
  <c r="L96" i="5"/>
  <c r="N96" i="5" s="1"/>
  <c r="L50" i="5"/>
  <c r="N50" i="5" s="1"/>
  <c r="N43" i="5" s="1"/>
  <c r="G28" i="5"/>
  <c r="N116" i="6"/>
  <c r="G27" i="7"/>
  <c r="S51" i="7"/>
  <c r="S36" i="7"/>
  <c r="U36" i="7" s="1"/>
  <c r="G3" i="7"/>
  <c r="N3" i="6"/>
  <c r="L80" i="7"/>
  <c r="N80" i="7" s="1"/>
  <c r="N39" i="7"/>
  <c r="U217" i="4"/>
  <c r="G59" i="5"/>
  <c r="U40" i="5"/>
  <c r="L68" i="5"/>
  <c r="N68" i="5" s="1"/>
  <c r="N145" i="4"/>
  <c r="U27" i="6"/>
  <c r="L75" i="7"/>
  <c r="N75" i="7" s="1"/>
  <c r="S8" i="7"/>
  <c r="U8" i="7" s="1"/>
  <c r="U3" i="7" s="1"/>
  <c r="N49" i="7"/>
  <c r="N44" i="7" s="1"/>
  <c r="S46" i="7"/>
  <c r="U46" i="7" s="1"/>
  <c r="L61" i="7"/>
  <c r="N61" i="7" s="1"/>
  <c r="U44" i="5"/>
  <c r="L66" i="5"/>
  <c r="N66" i="5" s="1"/>
  <c r="G35" i="8"/>
  <c r="U9" i="8"/>
  <c r="U76" i="8" s="1"/>
  <c r="L26" i="8"/>
  <c r="N26" i="8" s="1"/>
  <c r="S76" i="8"/>
  <c r="L79" i="7"/>
  <c r="N79" i="7" s="1"/>
  <c r="N38" i="7"/>
  <c r="N29" i="7" s="1"/>
  <c r="N19" i="8"/>
  <c r="U20" i="8"/>
  <c r="S59" i="8"/>
  <c r="U59" i="8" s="1"/>
  <c r="U53" i="8" s="1"/>
  <c r="S42" i="8"/>
  <c r="U42" i="8" s="1"/>
  <c r="U36" i="8" s="1"/>
  <c r="L58" i="8"/>
  <c r="U25" i="8"/>
  <c r="S49" i="7"/>
  <c r="S34" i="7"/>
  <c r="U34" i="7" s="1"/>
  <c r="G25" i="7"/>
  <c r="G19" i="8"/>
  <c r="L43" i="8"/>
  <c r="N43" i="8" s="1"/>
  <c r="N37" i="8" s="1"/>
  <c r="G59" i="8"/>
  <c r="G52" i="8" s="1"/>
  <c r="E42" i="8"/>
  <c r="G42" i="8" s="1"/>
  <c r="G25" i="8"/>
  <c r="S92" i="6"/>
  <c r="U77" i="6"/>
  <c r="U71" i="6" s="1"/>
  <c r="U153" i="4"/>
  <c r="S171" i="4"/>
  <c r="G101" i="5"/>
  <c r="N78" i="5"/>
  <c r="N117" i="5"/>
  <c r="L84" i="5"/>
  <c r="N84" i="5" s="1"/>
  <c r="L123" i="5"/>
  <c r="N123" i="5" s="1"/>
  <c r="L95" i="5"/>
  <c r="N95" i="5" s="1"/>
  <c r="L107" i="5"/>
  <c r="N107" i="5" s="1"/>
  <c r="N101" i="5" s="1"/>
  <c r="L65" i="5"/>
  <c r="N65" i="5" s="1"/>
  <c r="U49" i="5"/>
  <c r="U84" i="8"/>
  <c r="U70" i="8" s="1"/>
  <c r="U4" i="8"/>
  <c r="G44" i="7"/>
  <c r="L36" i="4"/>
  <c r="N36" i="4" s="1"/>
  <c r="S16" i="5"/>
  <c r="G36" i="4"/>
  <c r="S68" i="4"/>
  <c r="U68" i="4" s="1"/>
  <c r="S36" i="4"/>
  <c r="U36" i="4" s="1"/>
  <c r="L66" i="7"/>
  <c r="N66" i="7" s="1"/>
  <c r="N25" i="7"/>
  <c r="N15" i="7" s="1"/>
  <c r="L22" i="5"/>
  <c r="N22" i="5" s="1"/>
  <c r="N16" i="5" s="1"/>
  <c r="U45" i="5"/>
  <c r="N70" i="7" l="1"/>
  <c r="N56" i="7"/>
  <c r="N59" i="5"/>
  <c r="U145" i="4"/>
  <c r="N89" i="5"/>
  <c r="G17" i="7"/>
  <c r="S66" i="7"/>
  <c r="U66" i="7" s="1"/>
  <c r="U51" i="7"/>
  <c r="U27" i="7"/>
  <c r="U49" i="7"/>
  <c r="U41" i="7" s="1"/>
  <c r="S64" i="7"/>
  <c r="U64" i="7" s="1"/>
  <c r="N58" i="8"/>
  <c r="N53" i="8" s="1"/>
  <c r="E74" i="8"/>
  <c r="G74" i="8" s="1"/>
  <c r="G69" i="8" s="1"/>
  <c r="S108" i="6"/>
  <c r="U108" i="6" s="1"/>
  <c r="U102" i="6" s="1"/>
  <c r="U92" i="6"/>
  <c r="U86" i="6" s="1"/>
  <c r="S46" i="5"/>
  <c r="U46" i="5" s="1"/>
  <c r="U16" i="5"/>
  <c r="U56" i="7" l="1"/>
</calcChain>
</file>

<file path=xl/sharedStrings.xml><?xml version="1.0" encoding="utf-8"?>
<sst xmlns="http://schemas.openxmlformats.org/spreadsheetml/2006/main" count="5808" uniqueCount="491">
  <si>
    <t>Item</t>
  </si>
  <si>
    <t>Unit</t>
  </si>
  <si>
    <t>Quantity</t>
  </si>
  <si>
    <t>Mozzarella cheese</t>
  </si>
  <si>
    <t>French Fries</t>
  </si>
  <si>
    <t>Fries</t>
  </si>
  <si>
    <t>Total</t>
  </si>
  <si>
    <t>Total Cost</t>
  </si>
  <si>
    <t>French Fries w/ Cheese</t>
  </si>
  <si>
    <t>Chicken Tenders</t>
  </si>
  <si>
    <t>Ingredients</t>
  </si>
  <si>
    <t>Price Per Unit</t>
  </si>
  <si>
    <t>Small Take Out Container</t>
  </si>
  <si>
    <t>Recipe Quantity</t>
  </si>
  <si>
    <t>Costing</t>
  </si>
  <si>
    <t>Cost</t>
  </si>
  <si>
    <t>Container</t>
  </si>
  <si>
    <t>Oz</t>
  </si>
  <si>
    <t>Price</t>
  </si>
  <si>
    <t>Last 
Updated</t>
  </si>
  <si>
    <t>Thatz'a Pizza</t>
  </si>
  <si>
    <t>Item
Type</t>
  </si>
  <si>
    <t>Mozzarella Cheese</t>
  </si>
  <si>
    <t>Baking Tin</t>
  </si>
  <si>
    <t>Baking Tin Lid</t>
  </si>
  <si>
    <t>Lid</t>
  </si>
  <si>
    <t>Appetizer Costs</t>
  </si>
  <si>
    <t>French Fries w/ Cheese &amp; Bacon</t>
  </si>
  <si>
    <t>Bacon</t>
  </si>
  <si>
    <t>BBQ</t>
  </si>
  <si>
    <t>ct</t>
  </si>
  <si>
    <t>side</t>
  </si>
  <si>
    <t>Honey Mustard</t>
  </si>
  <si>
    <t>Chicken Tenders &amp; Fries</t>
  </si>
  <si>
    <t>Onion Rings</t>
  </si>
  <si>
    <t>Boom Boom Sauce</t>
  </si>
  <si>
    <t>Case</t>
  </si>
  <si>
    <t>Lb</t>
  </si>
  <si>
    <t>Mozzarella Sticks</t>
  </si>
  <si>
    <t>Marinara</t>
  </si>
  <si>
    <t>2-oz side</t>
  </si>
  <si>
    <t>Fried Ravioli</t>
  </si>
  <si>
    <t>Ravioli</t>
  </si>
  <si>
    <t>Fried Mushrooms</t>
  </si>
  <si>
    <t>Ranch</t>
  </si>
  <si>
    <t>packet</t>
  </si>
  <si>
    <t>Fried Pickles</t>
  </si>
  <si>
    <t>Wings</t>
  </si>
  <si>
    <t>Hot Sauce</t>
  </si>
  <si>
    <t>Bleu Cheese</t>
  </si>
  <si>
    <t>Half Dozen Wings - Hot</t>
  </si>
  <si>
    <t>Half Dozen Wings - Mild</t>
  </si>
  <si>
    <t>Half Dozen Wings - BBQ</t>
  </si>
  <si>
    <t>Mild Sauce</t>
  </si>
  <si>
    <t>BBQ Sauce</t>
  </si>
  <si>
    <t>Half Dozen Wings -  Thatz'a Hot</t>
  </si>
  <si>
    <t>Thatz'a Hot Sauce</t>
  </si>
  <si>
    <t>Dozen Wings - Hot</t>
  </si>
  <si>
    <t>Dozen Wings - Mild</t>
  </si>
  <si>
    <t>Dozen Wings - BBQ</t>
  </si>
  <si>
    <t>Dozen Wings -  Thatz'a Hot</t>
  </si>
  <si>
    <t>Dough</t>
  </si>
  <si>
    <t>Chocolate Chips</t>
  </si>
  <si>
    <t>Four Zeppole</t>
  </si>
  <si>
    <t>Vanilla</t>
  </si>
  <si>
    <t>Chocolate Syrup</t>
  </si>
  <si>
    <t>Powdered Sugar</t>
  </si>
  <si>
    <t>Average
Weight</t>
  </si>
  <si>
    <t>LargeTake Out Container</t>
  </si>
  <si>
    <t>Large Take Out Container</t>
  </si>
  <si>
    <t>Small Plain Pizza</t>
  </si>
  <si>
    <t>Medium Plain Pizza</t>
  </si>
  <si>
    <t>Large Plain Pizza</t>
  </si>
  <si>
    <t>Box</t>
  </si>
  <si>
    <t>Paper</t>
  </si>
  <si>
    <t>Pizza Costs</t>
  </si>
  <si>
    <t>Small White Pizza</t>
  </si>
  <si>
    <t>Medium White Pizza</t>
  </si>
  <si>
    <t>Large White Pizza</t>
  </si>
  <si>
    <t>Small Pizza Toppings</t>
  </si>
  <si>
    <t>Medium Pizza Toppings</t>
  </si>
  <si>
    <t>Large Pizza Toppings</t>
  </si>
  <si>
    <t>Ricotta Cheese</t>
  </si>
  <si>
    <t>oz</t>
  </si>
  <si>
    <t>Pizza Sauce</t>
  </si>
  <si>
    <t>Garlic Sauce</t>
  </si>
  <si>
    <t>Pepperoni</t>
  </si>
  <si>
    <t>Sausage</t>
  </si>
  <si>
    <t>Ham</t>
  </si>
  <si>
    <t>Spicy Sausage</t>
  </si>
  <si>
    <t>Mushroom</t>
  </si>
  <si>
    <t>Green Pepper</t>
  </si>
  <si>
    <t>Onion</t>
  </si>
  <si>
    <t>Black Olives</t>
  </si>
  <si>
    <t>Salami</t>
  </si>
  <si>
    <t>Chicken</t>
  </si>
  <si>
    <t>Steak</t>
  </si>
  <si>
    <t>Meatball</t>
  </si>
  <si>
    <t>Ground Beef</t>
  </si>
  <si>
    <t>Anchovies</t>
  </si>
  <si>
    <t>Pineapple</t>
  </si>
  <si>
    <t>Breadsticks &amp; Sauce</t>
  </si>
  <si>
    <t>Marinara Sauce</t>
  </si>
  <si>
    <t>4-oz side</t>
  </si>
  <si>
    <t>Parmesan Cheese</t>
  </si>
  <si>
    <t>Banana Peppers</t>
  </si>
  <si>
    <t>Extra Cheese</t>
  </si>
  <si>
    <t>Broccoli</t>
  </si>
  <si>
    <t>Fresh Basil</t>
  </si>
  <si>
    <t>Fresh Garlic</t>
  </si>
  <si>
    <t>Specialty Pizza Costs</t>
  </si>
  <si>
    <t>Plain Sicilian</t>
  </si>
  <si>
    <t>Tomato Pie</t>
  </si>
  <si>
    <t>Sicilian/Tomato Pie Toppings</t>
  </si>
  <si>
    <t>Thatz'a Sicilian</t>
  </si>
  <si>
    <t>Gluten Free Pizza</t>
  </si>
  <si>
    <t>Gluten Free Crust</t>
  </si>
  <si>
    <t>San Marizano Tomatoes</t>
  </si>
  <si>
    <t>Olive Oil</t>
  </si>
  <si>
    <t>Kosher Salt</t>
  </si>
  <si>
    <t>Storage</t>
  </si>
  <si>
    <t>Seller</t>
  </si>
  <si>
    <t>Brand</t>
  </si>
  <si>
    <t>Dairy</t>
  </si>
  <si>
    <t>Cooler</t>
  </si>
  <si>
    <t>Meat</t>
  </si>
  <si>
    <t>Produce</t>
  </si>
  <si>
    <t>Small Hawaiian Pizza</t>
  </si>
  <si>
    <t>Slice</t>
  </si>
  <si>
    <t>Medium Hawaiian Pizza</t>
  </si>
  <si>
    <t>Large Wax Paper</t>
  </si>
  <si>
    <t>Large Hawaiian Pizza</t>
  </si>
  <si>
    <t>Small Meat Lovers Pizza</t>
  </si>
  <si>
    <t>Medium Meat Lovers Pizza</t>
  </si>
  <si>
    <t>Large Meat Lovers Pizza</t>
  </si>
  <si>
    <t>Small Thatz'a Pizza</t>
  </si>
  <si>
    <t>Medium Thatz'a Pizza</t>
  </si>
  <si>
    <t>Large Thatz'a Pizza</t>
  </si>
  <si>
    <t>Small Veggie Pizza</t>
  </si>
  <si>
    <t>Medium Veggie Pizza</t>
  </si>
  <si>
    <t>Large Veggie Pizza</t>
  </si>
  <si>
    <t>Small Greek Pizza</t>
  </si>
  <si>
    <t>Medium Greek Pizza</t>
  </si>
  <si>
    <t>Large Greek Pizza</t>
  </si>
  <si>
    <t>Lettuce</t>
  </si>
  <si>
    <t>Roma Tomato</t>
  </si>
  <si>
    <t>Red Onion</t>
  </si>
  <si>
    <t>Kalamata Olives</t>
  </si>
  <si>
    <t>Feta Cheese</t>
  </si>
  <si>
    <t>Greek Dressing</t>
  </si>
  <si>
    <t>Small Chicken Caesar Pizza</t>
  </si>
  <si>
    <t>Medium Chicken Caesar Pizza</t>
  </si>
  <si>
    <t>Large Chicken Caesar Pizza</t>
  </si>
  <si>
    <t>Caesar Dressing</t>
  </si>
  <si>
    <t>Round Tomato</t>
  </si>
  <si>
    <t>Small Caprese Pizza</t>
  </si>
  <si>
    <t>Medium Caprese Pizza</t>
  </si>
  <si>
    <t>Large Caprese Pizza</t>
  </si>
  <si>
    <t>Small Buffalo Chicken Pizza</t>
  </si>
  <si>
    <t>Medium Buffalo Chicken Pizza</t>
  </si>
  <si>
    <t>Large Buffalo Chicken Pizza</t>
  </si>
  <si>
    <t>Hot Sauce on Chicken</t>
  </si>
  <si>
    <t>Small Taco Pizza</t>
  </si>
  <si>
    <t>Medium Taco Pizza</t>
  </si>
  <si>
    <t>Salsa</t>
  </si>
  <si>
    <t>Cheddar Cheese</t>
  </si>
  <si>
    <t>Small Chicken Bacon Ranch Pizza</t>
  </si>
  <si>
    <t>Medium Chicken Bacon Ranch Pizza</t>
  </si>
  <si>
    <t>Large Taco Pizza</t>
  </si>
  <si>
    <t>Large Chicken Bacon Ranch Pizza</t>
  </si>
  <si>
    <t>Small Steak Bacon Ranch Pizza</t>
  </si>
  <si>
    <t>Medium Steak Bacon Ranch Pizza</t>
  </si>
  <si>
    <t>Large Steak Bacon Ranch Pizza</t>
  </si>
  <si>
    <t>Small Honey Mustard Chicken Pizza</t>
  </si>
  <si>
    <t>Medium Honey Mustard Chicken Pizza</t>
  </si>
  <si>
    <t>Large Honey Mustard Chicken Pizza</t>
  </si>
  <si>
    <t>Stromboli Costs</t>
  </si>
  <si>
    <t>Small Regular Stromboli</t>
  </si>
  <si>
    <t>Large Regular Stromboli</t>
  </si>
  <si>
    <t>12 Inch Pizza Box</t>
  </si>
  <si>
    <t>14 Inch Pizza Box</t>
  </si>
  <si>
    <t>16 Inch Pizza Box</t>
  </si>
  <si>
    <t>10 Inch Pizza Box</t>
  </si>
  <si>
    <t>Small Wax Paper</t>
  </si>
  <si>
    <t>Small Stromboli/Calzone Toppings</t>
  </si>
  <si>
    <t>Large Stromboli/Calzone Toppings</t>
  </si>
  <si>
    <t>Small Steak &amp; Onion Stromboli</t>
  </si>
  <si>
    <t>Large Steak &amp; Onion Stromboli</t>
  </si>
  <si>
    <t>1 Tomato</t>
  </si>
  <si>
    <t>Large Veggie Stromboli</t>
  </si>
  <si>
    <t>Small Veggie Stromboli</t>
  </si>
  <si>
    <t>Small Thatz'a Stromboli</t>
  </si>
  <si>
    <t>Large Thatz'a Stromboli</t>
  </si>
  <si>
    <t>Small Verboli</t>
  </si>
  <si>
    <t>Large Verboli</t>
  </si>
  <si>
    <t>Calzone Costs</t>
  </si>
  <si>
    <t>Small Cheese Calzone</t>
  </si>
  <si>
    <t>Large Cheese Calzone</t>
  </si>
  <si>
    <t>Small Ham Calzone</t>
  </si>
  <si>
    <t>Large Ham Calzone</t>
  </si>
  <si>
    <t>Small Veggie Calzone</t>
  </si>
  <si>
    <t>Large Veggie Calzone</t>
  </si>
  <si>
    <t>Small Eggplant Calzone</t>
  </si>
  <si>
    <t>Large Eggplant Calzone</t>
  </si>
  <si>
    <t>Eggplant</t>
  </si>
  <si>
    <t>Freezer</t>
  </si>
  <si>
    <t xml:space="preserve">2-oz Side Marinara </t>
  </si>
  <si>
    <t>2-oz Cup</t>
  </si>
  <si>
    <t>2-oz Lid</t>
  </si>
  <si>
    <t>Cup</t>
  </si>
  <si>
    <t>Sides Cost</t>
  </si>
  <si>
    <t>Sapporito</t>
  </si>
  <si>
    <t>Vegetable Oil</t>
  </si>
  <si>
    <t>Granulated Garlic</t>
  </si>
  <si>
    <t>Dry Basil</t>
  </si>
  <si>
    <t>Black Pepper</t>
  </si>
  <si>
    <t>Salt</t>
  </si>
  <si>
    <t>Sugar</t>
  </si>
  <si>
    <t>Yeilds</t>
  </si>
  <si>
    <t>Ounces</t>
  </si>
  <si>
    <t>Recipe Costs</t>
  </si>
  <si>
    <t>Total Cost Per Oz</t>
  </si>
  <si>
    <t>Salad Costs</t>
  </si>
  <si>
    <t>Cold Sub Costs</t>
  </si>
  <si>
    <t>Hot Sub Costs</t>
  </si>
  <si>
    <t>Jalapeno Peppers</t>
  </si>
  <si>
    <t>Patty</t>
  </si>
  <si>
    <t>Crust</t>
  </si>
  <si>
    <t>Oz (fluid)</t>
  </si>
  <si>
    <t>Romano Cheese</t>
  </si>
  <si>
    <t>Chicken Wings</t>
  </si>
  <si>
    <t>Frozen Food</t>
  </si>
  <si>
    <t>Romaine Lettuce</t>
  </si>
  <si>
    <t>Iceburg Lettuce</t>
  </si>
  <si>
    <t>Cucumber</t>
  </si>
  <si>
    <t>Turkey</t>
  </si>
  <si>
    <t>Canned/Jarred</t>
  </si>
  <si>
    <t>Sweet Peppers</t>
  </si>
  <si>
    <t>Mushrooms</t>
  </si>
  <si>
    <t>Provolone Cheese</t>
  </si>
  <si>
    <t>American Cheese</t>
  </si>
  <si>
    <t>Burgers</t>
  </si>
  <si>
    <t>Fish</t>
  </si>
  <si>
    <t>Shrimp</t>
  </si>
  <si>
    <t>Capicola</t>
  </si>
  <si>
    <t>Hot Pepper Relish</t>
  </si>
  <si>
    <t>Pickle Spears</t>
  </si>
  <si>
    <t>White Wrap</t>
  </si>
  <si>
    <t>Wheat Wrap</t>
  </si>
  <si>
    <t>Spinach Wrap</t>
  </si>
  <si>
    <t>Gluten Free Wrap</t>
  </si>
  <si>
    <t>Wrap</t>
  </si>
  <si>
    <t>Gluten Free</t>
  </si>
  <si>
    <t>Spices</t>
  </si>
  <si>
    <t>Minced Garlic</t>
  </si>
  <si>
    <t>Garlic Salt</t>
  </si>
  <si>
    <t>Dry Parsley</t>
  </si>
  <si>
    <t>Oregano</t>
  </si>
  <si>
    <t>Crushed Red Pepper</t>
  </si>
  <si>
    <t>Granulated Sugar</t>
  </si>
  <si>
    <t>Table Salt</t>
  </si>
  <si>
    <t>Beef Bouillon</t>
  </si>
  <si>
    <t>Accent Salt</t>
  </si>
  <si>
    <t>Dressing</t>
  </si>
  <si>
    <t>Bleu Cheese Packets</t>
  </si>
  <si>
    <t>Ranch Packets</t>
  </si>
  <si>
    <t>Italian Packets</t>
  </si>
  <si>
    <t>Lite Italian Packets</t>
  </si>
  <si>
    <t>Creamy Italian Packets</t>
  </si>
  <si>
    <t>French Packets</t>
  </si>
  <si>
    <t>1000 Island Packets</t>
  </si>
  <si>
    <t>Balsamic Vinegarette</t>
  </si>
  <si>
    <t>Sauces</t>
  </si>
  <si>
    <t>Boom Boom</t>
  </si>
  <si>
    <t>San Marzano Tomatoes</t>
  </si>
  <si>
    <t>Flour</t>
  </si>
  <si>
    <t>Mayo</t>
  </si>
  <si>
    <t>Mayo Packets</t>
  </si>
  <si>
    <t>Tartar</t>
  </si>
  <si>
    <t>Ketchup</t>
  </si>
  <si>
    <t>Ketchup Packets</t>
  </si>
  <si>
    <t>Miscellaneous</t>
  </si>
  <si>
    <t>Breadcrumbs</t>
  </si>
  <si>
    <t>Oil/Vinegar</t>
  </si>
  <si>
    <t>Cannola Oil</t>
  </si>
  <si>
    <t>Red Vinegar</t>
  </si>
  <si>
    <t>White Vinegar</t>
  </si>
  <si>
    <t>Side Salad</t>
  </si>
  <si>
    <t>Roma Tomatoes</t>
  </si>
  <si>
    <t>Rubberband</t>
  </si>
  <si>
    <t>Fork &amp; Knife</t>
  </si>
  <si>
    <t>Plastic Bag</t>
  </si>
  <si>
    <t>Count</t>
  </si>
  <si>
    <t>House Salad</t>
  </si>
  <si>
    <t>Breadsticks</t>
  </si>
  <si>
    <t>Meatballs</t>
  </si>
  <si>
    <t>meatballs</t>
  </si>
  <si>
    <t>Total Cost Per Meatball</t>
  </si>
  <si>
    <t>Pack</t>
  </si>
  <si>
    <t>Breadsticks for Display</t>
  </si>
  <si>
    <t>breadsticks</t>
  </si>
  <si>
    <t>Total Cost Per Breadstick</t>
  </si>
  <si>
    <t>Foil</t>
  </si>
  <si>
    <t>Yeast</t>
  </si>
  <si>
    <t>Total Cost Per Batch</t>
  </si>
  <si>
    <t xml:space="preserve">4-oz Side Marinara </t>
  </si>
  <si>
    <t xml:space="preserve">4-oz Side Greek Dressing </t>
  </si>
  <si>
    <t>4-oz Cup</t>
  </si>
  <si>
    <t>Greek Dr.</t>
  </si>
  <si>
    <t>4-oz Lid</t>
  </si>
  <si>
    <t xml:space="preserve">4-oz Side Caesar Dressing </t>
  </si>
  <si>
    <t>Side Marinara Sauce</t>
  </si>
  <si>
    <t>Butter</t>
  </si>
  <si>
    <t>Anchovie Paste</t>
  </si>
  <si>
    <t>Buttermilk</t>
  </si>
  <si>
    <t>Lemon Juice</t>
  </si>
  <si>
    <t>Dry Mustard</t>
  </si>
  <si>
    <t>Garlic Powder</t>
  </si>
  <si>
    <t>Worcestorshire Sauce</t>
  </si>
  <si>
    <t>Qt</t>
  </si>
  <si>
    <t>Gal</t>
  </si>
  <si>
    <t>Cost of Slices of Meats &amp; Cheeses</t>
  </si>
  <si>
    <t>1 Slice of:</t>
  </si>
  <si>
    <t>Grilled Chicken Salad</t>
  </si>
  <si>
    <t>Fresh Chicken</t>
  </si>
  <si>
    <t>Caesar Salad</t>
  </si>
  <si>
    <t>Greek Salad</t>
  </si>
  <si>
    <t>Kalamata Olive</t>
  </si>
  <si>
    <t>Chef Salad</t>
  </si>
  <si>
    <t>Italian Salad</t>
  </si>
  <si>
    <t>Turkey Salad</t>
  </si>
  <si>
    <t>Tuna Salad</t>
  </si>
  <si>
    <t>Tuna</t>
  </si>
  <si>
    <t>Greek Salad w/ Chicken</t>
  </si>
  <si>
    <t>Greek Salad w/ Shrimp</t>
  </si>
  <si>
    <t>Steak Salad</t>
  </si>
  <si>
    <t>Caesar Dr.</t>
  </si>
  <si>
    <t xml:space="preserve">2-oz Side Greek Dressing </t>
  </si>
  <si>
    <t xml:space="preserve">2-oz Side Caesar Dressing </t>
  </si>
  <si>
    <t>Italian Sub</t>
  </si>
  <si>
    <t>Dough for Bread</t>
  </si>
  <si>
    <t>Provolone</t>
  </si>
  <si>
    <t>Round Tomatoes</t>
  </si>
  <si>
    <t>Small Paper Bag</t>
  </si>
  <si>
    <t>Oil</t>
  </si>
  <si>
    <t>Vinegar</t>
  </si>
  <si>
    <t>Inch</t>
  </si>
  <si>
    <t>Italian Wrap</t>
  </si>
  <si>
    <t>Wrap Costs</t>
  </si>
  <si>
    <t>Cost of Slices of Wraps</t>
  </si>
  <si>
    <t>Club Wrap</t>
  </si>
  <si>
    <t>Club</t>
  </si>
  <si>
    <t>Turkey &amp; Cheese</t>
  </si>
  <si>
    <t>Turkey &amp; Cheese Wrap</t>
  </si>
  <si>
    <t>Ham &amp; Cheese</t>
  </si>
  <si>
    <t>Ham &amp; Cheese Wrap</t>
  </si>
  <si>
    <t>Spicy Italian</t>
  </si>
  <si>
    <t>Spicy Italian Wrap</t>
  </si>
  <si>
    <t>Tuna &amp; Cheese</t>
  </si>
  <si>
    <t>Tuna &amp; Cheese Wrap</t>
  </si>
  <si>
    <t xml:space="preserve">Cheese </t>
  </si>
  <si>
    <t>Cheese Wrap</t>
  </si>
  <si>
    <t>Mozzarella</t>
  </si>
  <si>
    <t>BLT</t>
  </si>
  <si>
    <t>BLT Wrap</t>
  </si>
  <si>
    <t>Veggie</t>
  </si>
  <si>
    <t>Veggie Wrap</t>
  </si>
  <si>
    <t>Specialty Wraps</t>
  </si>
  <si>
    <t>Buffalo Chicken Wrap</t>
  </si>
  <si>
    <t>Turkey Club Wrap</t>
  </si>
  <si>
    <t>Chicken Caesar Wrap</t>
  </si>
  <si>
    <t>Greek Wrap</t>
  </si>
  <si>
    <t>Greek Wrap w/ Chicken</t>
  </si>
  <si>
    <t>Greek Wrap w/ Shrimp</t>
  </si>
  <si>
    <t>Buffalo Chicken Salad</t>
  </si>
  <si>
    <t>Fish Sandwich</t>
  </si>
  <si>
    <t>Cheeseburger</t>
  </si>
  <si>
    <t>Cheese Steak</t>
  </si>
  <si>
    <t>Thatz'a Cheese Steak</t>
  </si>
  <si>
    <t>California Cheese Steak</t>
  </si>
  <si>
    <t>Chicken Cheese Steak</t>
  </si>
  <si>
    <t>Thatz'a Chicken Cheese Steak</t>
  </si>
  <si>
    <t>California Chicken Cheese Steak</t>
  </si>
  <si>
    <t>Pizza Steak</t>
  </si>
  <si>
    <t>Meatball and Cheese</t>
  </si>
  <si>
    <t>Sausage and Cheese</t>
  </si>
  <si>
    <t>Eggplant Parmesan</t>
  </si>
  <si>
    <t>Grilled Chicken Parmesan</t>
  </si>
  <si>
    <t>Crispy Chicken Parmesan</t>
  </si>
  <si>
    <t>Crispy Chicken Sub</t>
  </si>
  <si>
    <t xml:space="preserve">Grilled Buffalo Chicken </t>
  </si>
  <si>
    <t>Crispy Buffalo Chicken</t>
  </si>
  <si>
    <t>Can</t>
  </si>
  <si>
    <t>Packet</t>
  </si>
  <si>
    <t>Back Kitchen</t>
  </si>
  <si>
    <t>Front Kitchen</t>
  </si>
  <si>
    <t>Bag</t>
  </si>
  <si>
    <t>1 Onion</t>
  </si>
  <si>
    <t>1 Fish</t>
  </si>
  <si>
    <t>1 Wing</t>
  </si>
  <si>
    <t>1 Slice</t>
  </si>
  <si>
    <t>1 Ravioli</t>
  </si>
  <si>
    <t>1 Mozzarella Stick</t>
  </si>
  <si>
    <t>711 Sauce - #10 Can</t>
  </si>
  <si>
    <t>Sapporito Sauce - #10 Can</t>
  </si>
  <si>
    <t>Kg</t>
  </si>
  <si>
    <t>*Total lettuce weight</t>
  </si>
  <si>
    <t>Side Salad w/ Chicken</t>
  </si>
  <si>
    <t>side salad</t>
  </si>
  <si>
    <t>Total Lettuce:</t>
  </si>
  <si>
    <t>Black Olive</t>
  </si>
  <si>
    <t>1 Head</t>
  </si>
  <si>
    <t>1 Steak</t>
  </si>
  <si>
    <t>Albacore Tuna</t>
  </si>
  <si>
    <t>Bucket</t>
  </si>
  <si>
    <t>Pickle</t>
  </si>
  <si>
    <t>Fluid Oz</t>
  </si>
  <si>
    <t>12x15 Wax Paper</t>
  </si>
  <si>
    <t>Jar</t>
  </si>
  <si>
    <t>1 Tender</t>
  </si>
  <si>
    <t>Small Sub Bags</t>
  </si>
  <si>
    <t>Large Sub Bags</t>
  </si>
  <si>
    <t>Latex Gloves</t>
  </si>
  <si>
    <t>Large Pizza Boxes</t>
  </si>
  <si>
    <t>Bundle</t>
  </si>
  <si>
    <t>Medium Pizza Boxes</t>
  </si>
  <si>
    <t>Small Pizza Boxes</t>
  </si>
  <si>
    <t>Dish Soap</t>
  </si>
  <si>
    <t>Tub</t>
  </si>
  <si>
    <t>Italian Wedding Soup</t>
  </si>
  <si>
    <t>1 Pepper</t>
  </si>
  <si>
    <t>Paper Plates</t>
  </si>
  <si>
    <t>Plate</t>
  </si>
  <si>
    <t>3.5 oz Cups</t>
  </si>
  <si>
    <t>24 oz Cups</t>
  </si>
  <si>
    <t>lb</t>
  </si>
  <si>
    <t>Liter</t>
  </si>
  <si>
    <t>Lemon</t>
  </si>
  <si>
    <t>1 Lemon</t>
  </si>
  <si>
    <t>Pretzel Dough</t>
  </si>
  <si>
    <t>Dough Ball</t>
  </si>
  <si>
    <t>Tartar Packets</t>
  </si>
  <si>
    <t>Jalapeno Poppers</t>
  </si>
  <si>
    <t>Avocado Bites</t>
  </si>
  <si>
    <t>Pizza Bites</t>
  </si>
  <si>
    <t>Large Styrofoam</t>
  </si>
  <si>
    <t>Small Styrofoam</t>
  </si>
  <si>
    <t>Salad Containers</t>
  </si>
  <si>
    <t>Slice Boxes</t>
  </si>
  <si>
    <t>Jug</t>
  </si>
  <si>
    <t>1 Shrimp</t>
  </si>
  <si>
    <t>Nitril Gloves</t>
  </si>
  <si>
    <t>Glove</t>
  </si>
  <si>
    <t>3.5 Oz Lids</t>
  </si>
  <si>
    <t>Degreaser</t>
  </si>
  <si>
    <t>All Purpose</t>
  </si>
  <si>
    <t>2 oz Lids</t>
  </si>
  <si>
    <t>2 oz Cups</t>
  </si>
  <si>
    <t>Plastic Bags</t>
  </si>
  <si>
    <t>Taco Seasoning</t>
  </si>
  <si>
    <t>Sour Cream</t>
  </si>
  <si>
    <t>Sheet</t>
  </si>
  <si>
    <t>24 oz Lids</t>
  </si>
  <si>
    <t>Vegetable/Olive Oil</t>
  </si>
  <si>
    <t>Bottle</t>
  </si>
  <si>
    <t>Anchovy Paste</t>
  </si>
  <si>
    <t>Tin</t>
  </si>
  <si>
    <t>Quart</t>
  </si>
  <si>
    <t xml:space="preserve">2-oz Side Honey Mustard </t>
  </si>
  <si>
    <t>2-oz Side BBQ</t>
  </si>
  <si>
    <t>2-oz Side Boom Boom</t>
  </si>
  <si>
    <t>1 Cup</t>
  </si>
  <si>
    <t>Average
Weight
Unit</t>
  </si>
  <si>
    <t>Brown Sugar</t>
  </si>
  <si>
    <t>1 Cucumber</t>
  </si>
  <si>
    <t>Stick (.5 Cup)</t>
  </si>
  <si>
    <t>1 Popper</t>
  </si>
  <si>
    <t>Iceburg:Romaine</t>
  </si>
  <si>
    <t>4:5</t>
  </si>
  <si>
    <t>Wrap (Oz):</t>
  </si>
  <si>
    <t>Sub (Oz):</t>
  </si>
  <si>
    <t>Inches</t>
  </si>
  <si>
    <t>Tsp</t>
  </si>
  <si>
    <t>Stick</t>
  </si>
  <si>
    <t>Foil Tray For Fries</t>
  </si>
  <si>
    <t>Foil Tray Lid For Fries</t>
  </si>
  <si>
    <t>Fork &amp; Knife Kit</t>
  </si>
  <si>
    <t>Rubberbands</t>
  </si>
  <si>
    <t>Chicken Caesar Salad</t>
  </si>
  <si>
    <t>Vendor Name</t>
  </si>
  <si>
    <t>Brand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</si>
</sst>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3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Border="1"/>
    <xf numFmtId="0" fontId="0" fillId="0" borderId="6" xfId="0" applyBorder="1"/>
    <xf numFmtId="0" fontId="0" fillId="2" borderId="0" xfId="0" applyFill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2" borderId="2" xfId="0" applyFill="1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0" fillId="0" borderId="0" xfId="0" applyFill="1"/>
    <xf numFmtId="0" fontId="0" fillId="5" borderId="2" xfId="0" applyFill="1" applyBorder="1"/>
    <xf numFmtId="0" fontId="0" fillId="4" borderId="4" xfId="0" applyFill="1" applyBorder="1"/>
    <xf numFmtId="0" fontId="0" fillId="4" borderId="4" xfId="0" applyFill="1" applyBorder="1" applyAlignment="1">
      <alignment horizontal="center"/>
    </xf>
    <xf numFmtId="0" fontId="0" fillId="6" borderId="4" xfId="0" applyFill="1" applyBorder="1"/>
    <xf numFmtId="0" fontId="0" fillId="7" borderId="4" xfId="0" applyFill="1" applyBorder="1"/>
    <xf numFmtId="0" fontId="0" fillId="6" borderId="12" xfId="0" applyFill="1" applyBorder="1"/>
    <xf numFmtId="0" fontId="0" fillId="4" borderId="12" xfId="0" applyFill="1" applyBorder="1" applyAlignment="1">
      <alignment horizontal="center"/>
    </xf>
    <xf numFmtId="0" fontId="0" fillId="7" borderId="12" xfId="0" applyFill="1" applyBorder="1"/>
    <xf numFmtId="0" fontId="0" fillId="3" borderId="12" xfId="0" applyFill="1" applyBorder="1"/>
    <xf numFmtId="0" fontId="0" fillId="3" borderId="4" xfId="0" applyFill="1" applyBorder="1"/>
    <xf numFmtId="0" fontId="2" fillId="2" borderId="1" xfId="0" applyFont="1" applyFill="1" applyBorder="1" applyAlignment="1">
      <alignment wrapText="1"/>
    </xf>
    <xf numFmtId="0" fontId="2" fillId="2" borderId="16" xfId="0" applyFont="1" applyFill="1" applyBorder="1"/>
    <xf numFmtId="0" fontId="2" fillId="2" borderId="16" xfId="0" applyFont="1" applyFill="1" applyBorder="1" applyAlignment="1"/>
    <xf numFmtId="0" fontId="2" fillId="2" borderId="0" xfId="0" applyFont="1" applyFill="1"/>
    <xf numFmtId="0" fontId="2" fillId="2" borderId="18" xfId="0" applyFont="1" applyFill="1" applyBorder="1"/>
    <xf numFmtId="0" fontId="0" fillId="0" borderId="19" xfId="0" applyBorder="1"/>
    <xf numFmtId="0" fontId="0" fillId="0" borderId="20" xfId="0" applyBorder="1"/>
    <xf numFmtId="0" fontId="1" fillId="0" borderId="0" xfId="0" applyFont="1"/>
    <xf numFmtId="164" fontId="1" fillId="3" borderId="2" xfId="0" applyNumberFormat="1" applyFont="1" applyFill="1" applyBorder="1"/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2" fillId="2" borderId="15" xfId="0" applyNumberFormat="1" applyFont="1" applyFill="1" applyBorder="1" applyAlignment="1"/>
    <xf numFmtId="164" fontId="0" fillId="4" borderId="11" xfId="0" applyNumberFormat="1" applyFill="1" applyBorder="1"/>
    <xf numFmtId="164" fontId="0" fillId="4" borderId="10" xfId="0" applyNumberFormat="1" applyFill="1" applyBorder="1"/>
    <xf numFmtId="164" fontId="2" fillId="2" borderId="15" xfId="0" applyNumberFormat="1" applyFont="1" applyFill="1" applyBorder="1"/>
    <xf numFmtId="164" fontId="0" fillId="6" borderId="11" xfId="0" applyNumberFormat="1" applyFill="1" applyBorder="1"/>
    <xf numFmtId="164" fontId="0" fillId="6" borderId="10" xfId="0" applyNumberFormat="1" applyFill="1" applyBorder="1"/>
    <xf numFmtId="164" fontId="0" fillId="6" borderId="10" xfId="0" applyNumberFormat="1" applyFill="1" applyBorder="1" applyAlignment="1">
      <alignment horizontal="center"/>
    </xf>
    <xf numFmtId="164" fontId="0" fillId="3" borderId="11" xfId="0" applyNumberFormat="1" applyFill="1" applyBorder="1"/>
    <xf numFmtId="164" fontId="0" fillId="3" borderId="10" xfId="0" applyNumberFormat="1" applyFill="1" applyBorder="1"/>
    <xf numFmtId="164" fontId="0" fillId="7" borderId="11" xfId="0" applyNumberFormat="1" applyFill="1" applyBorder="1"/>
    <xf numFmtId="164" fontId="0" fillId="7" borderId="10" xfId="0" applyNumberFormat="1" applyFill="1" applyBorder="1"/>
    <xf numFmtId="164" fontId="1" fillId="0" borderId="0" xfId="0" applyNumberFormat="1" applyFont="1" applyFill="1" applyBorder="1"/>
    <xf numFmtId="0" fontId="2" fillId="2" borderId="13" xfId="0" applyFont="1" applyFill="1" applyBorder="1" applyAlignment="1">
      <alignment wrapText="1"/>
    </xf>
    <xf numFmtId="0" fontId="0" fillId="0" borderId="3" xfId="0" applyBorder="1"/>
    <xf numFmtId="0" fontId="0" fillId="0" borderId="0" xfId="0" applyBorder="1"/>
    <xf numFmtId="0" fontId="0" fillId="0" borderId="22" xfId="0" applyBorder="1"/>
    <xf numFmtId="0" fontId="0" fillId="0" borderId="2" xfId="0" applyBorder="1" applyAlignment="1">
      <alignment horizontal="right"/>
    </xf>
    <xf numFmtId="0" fontId="0" fillId="0" borderId="12" xfId="0" applyBorder="1"/>
    <xf numFmtId="0" fontId="1" fillId="3" borderId="2" xfId="0" applyNumberFormat="1" applyFont="1" applyFill="1" applyBorder="1"/>
    <xf numFmtId="0" fontId="2" fillId="2" borderId="1" xfId="0" applyFont="1" applyFill="1" applyBorder="1" applyAlignment="1">
      <alignment horizontal="center" wrapText="1"/>
    </xf>
    <xf numFmtId="0" fontId="2" fillId="2" borderId="13" xfId="0" applyFont="1" applyFill="1" applyBorder="1" applyAlignment="1">
      <alignment horizontal="center" wrapText="1"/>
    </xf>
    <xf numFmtId="0" fontId="2" fillId="2" borderId="18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164" fontId="2" fillId="2" borderId="15" xfId="0" applyNumberFormat="1" applyFont="1" applyFill="1" applyBorder="1" applyAlignment="1">
      <alignment horizontal="center"/>
    </xf>
    <xf numFmtId="0" fontId="2" fillId="2" borderId="21" xfId="0" applyFont="1" applyFill="1" applyBorder="1" applyAlignment="1">
      <alignment horizontal="center" wrapText="1"/>
    </xf>
    <xf numFmtId="0" fontId="2" fillId="2" borderId="9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3" borderId="12" xfId="0" applyFill="1" applyBorder="1" applyAlignment="1">
      <alignment horizontal="center"/>
    </xf>
    <xf numFmtId="164" fontId="0" fillId="3" borderId="11" xfId="0" applyNumberFormat="1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164" fontId="0" fillId="6" borderId="11" xfId="0" applyNumberFormat="1" applyFill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164" fontId="0" fillId="8" borderId="10" xfId="0" applyNumberForma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3" borderId="4" xfId="0" applyFill="1" applyBorder="1" applyAlignment="1">
      <alignment horizontal="center"/>
    </xf>
    <xf numFmtId="164" fontId="0" fillId="3" borderId="10" xfId="0" applyNumberFormat="1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164" fontId="0" fillId="4" borderId="10" xfId="0" applyNumberFormat="1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/>
    <xf numFmtId="0" fontId="0" fillId="0" borderId="4" xfId="0" applyBorder="1" applyAlignment="1"/>
    <xf numFmtId="14" fontId="0" fillId="5" borderId="2" xfId="0" applyNumberFormat="1" applyFill="1" applyBorder="1" applyAlignment="1">
      <alignment horizontal="center"/>
    </xf>
    <xf numFmtId="0" fontId="0" fillId="0" borderId="2" xfId="0" applyFill="1" applyBorder="1"/>
    <xf numFmtId="0" fontId="0" fillId="2" borderId="2" xfId="0" applyFont="1" applyFill="1" applyBorder="1"/>
    <xf numFmtId="0" fontId="0" fillId="0" borderId="2" xfId="0" applyFont="1" applyBorder="1"/>
    <xf numFmtId="0" fontId="0" fillId="3" borderId="2" xfId="0" applyFill="1" applyBorder="1"/>
    <xf numFmtId="0" fontId="0" fillId="9" borderId="2" xfId="0" applyFill="1" applyBorder="1"/>
    <xf numFmtId="0" fontId="0" fillId="9" borderId="0" xfId="0" applyFill="1"/>
    <xf numFmtId="0" fontId="0" fillId="2" borderId="23" xfId="0" applyFill="1" applyBorder="1"/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2" xfId="0" applyNumberFormat="1" applyFill="1" applyBorder="1"/>
    <xf numFmtId="164" fontId="0" fillId="8" borderId="9" xfId="0" applyNumberFormat="1" applyFill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right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164" fontId="0" fillId="6" borderId="4" xfId="0" applyNumberFormat="1" applyFill="1" applyBorder="1"/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2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/>
    <xf numFmtId="0" fontId="3" fillId="2" borderId="13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CC"/>
      <color rgb="FFFFFF99"/>
      <color rgb="FFCCCCFF"/>
      <color rgb="FFFF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AC960-8D19-4473-AF42-FC1D946E1EC7}">
  <sheetPr codeName="Sheet1">
    <pageSetUpPr fitToPage="1"/>
  </sheetPr>
  <dimension ref="A1:P133"/>
  <sheetViews>
    <sheetView showGridLines="0" zoomScaleNormal="100" workbookViewId="0">
      <pane ySplit="2" topLeftCell="A3" activePane="bottomLeft" state="frozen"/>
      <selection pane="bottomLeft" sqref="A1:P1"/>
    </sheetView>
  </sheetViews>
  <sheetFormatPr defaultRowHeight="14.5" x14ac:dyDescent="0.35"/>
  <cols>
    <col min="1" max="1" width="10.453125" style="73" bestFit="1" customWidth="1"/>
    <col min="2" max="2" width="13.26953125" style="6" bestFit="1" customWidth="1"/>
    <col min="3" max="3" width="11.81640625" style="33" bestFit="1" customWidth="1"/>
    <col min="4" max="5" width="12.26953125" style="33" bestFit="1" customWidth="1"/>
    <col min="6" max="6" width="20.54296875" style="74" bestFit="1" customWidth="1"/>
    <col min="7" max="7" width="8.7265625" style="75"/>
    <col min="8" max="8" width="7.6328125" style="76" bestFit="1" customWidth="1"/>
    <col min="9" max="9" width="8.6328125" style="77" customWidth="1"/>
    <col min="10" max="10" width="6.81640625" style="41" bestFit="1" customWidth="1"/>
    <col min="11" max="11" width="8.7265625" style="14"/>
    <col min="12" max="12" width="6.81640625" style="78" customWidth="1"/>
    <col min="13" max="13" width="11.7265625" style="79" customWidth="1"/>
    <col min="14" max="14" width="9.90625" style="80" customWidth="1"/>
    <col min="15" max="15" width="10.36328125" style="72" customWidth="1"/>
    <col min="16" max="16" width="8.7265625" style="71"/>
  </cols>
  <sheetData>
    <row r="1" spans="1:16" s="4" customFormat="1" ht="24" thickBot="1" x14ac:dyDescent="0.6">
      <c r="A1" s="115" t="s">
        <v>20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</row>
    <row r="2" spans="1:16" s="25" customFormat="1" ht="44" thickBot="1" x14ac:dyDescent="0.5">
      <c r="A2" s="54" t="s">
        <v>19</v>
      </c>
      <c r="B2" s="54" t="s">
        <v>21</v>
      </c>
      <c r="C2" s="55" t="s">
        <v>120</v>
      </c>
      <c r="D2" s="55" t="s">
        <v>121</v>
      </c>
      <c r="E2" s="55" t="s">
        <v>122</v>
      </c>
      <c r="F2" s="56" t="s">
        <v>0</v>
      </c>
      <c r="G2" s="57" t="s">
        <v>1</v>
      </c>
      <c r="H2" s="58" t="s">
        <v>18</v>
      </c>
      <c r="I2" s="57" t="s">
        <v>1</v>
      </c>
      <c r="J2" s="58" t="s">
        <v>18</v>
      </c>
      <c r="K2" s="57" t="s">
        <v>1</v>
      </c>
      <c r="L2" s="58" t="s">
        <v>18</v>
      </c>
      <c r="M2" s="57" t="s">
        <v>1</v>
      </c>
      <c r="N2" s="59" t="s">
        <v>67</v>
      </c>
      <c r="O2" s="110" t="s">
        <v>472</v>
      </c>
      <c r="P2" s="60" t="s">
        <v>18</v>
      </c>
    </row>
    <row r="3" spans="1:16" x14ac:dyDescent="0.35">
      <c r="A3" s="85">
        <v>44562</v>
      </c>
      <c r="B3" s="61" t="s">
        <v>236</v>
      </c>
      <c r="C3" s="62" t="s">
        <v>394</v>
      </c>
      <c r="D3" s="62" t="s">
        <v>489</v>
      </c>
      <c r="E3" s="62" t="s">
        <v>490</v>
      </c>
      <c r="F3" s="63" t="s">
        <v>403</v>
      </c>
      <c r="G3" s="64" t="s">
        <v>36</v>
      </c>
      <c r="H3" s="65">
        <v>37.75</v>
      </c>
      <c r="I3" s="66" t="s">
        <v>392</v>
      </c>
      <c r="J3" s="67">
        <f>H3/6</f>
        <v>6.291666666666667</v>
      </c>
      <c r="K3" s="18"/>
      <c r="L3" s="68"/>
      <c r="M3" s="69"/>
      <c r="N3" s="70"/>
    </row>
    <row r="4" spans="1:16" x14ac:dyDescent="0.35">
      <c r="A4" s="85">
        <v>44562</v>
      </c>
      <c r="B4" s="82" t="s">
        <v>236</v>
      </c>
      <c r="C4" s="81" t="s">
        <v>124</v>
      </c>
      <c r="D4" s="62" t="s">
        <v>489</v>
      </c>
      <c r="E4" s="62" t="s">
        <v>490</v>
      </c>
      <c r="F4" s="74" t="s">
        <v>105</v>
      </c>
      <c r="G4" s="75" t="s">
        <v>36</v>
      </c>
      <c r="H4" s="76">
        <v>29.99</v>
      </c>
      <c r="I4" s="77" t="s">
        <v>320</v>
      </c>
      <c r="J4" s="41">
        <f>H4/4</f>
        <v>7.4974999999999996</v>
      </c>
      <c r="K4" s="14" t="s">
        <v>17</v>
      </c>
      <c r="L4" s="78">
        <f>J4/66</f>
        <v>0.11359848484848484</v>
      </c>
    </row>
    <row r="5" spans="1:16" x14ac:dyDescent="0.35">
      <c r="A5" s="85">
        <v>44562</v>
      </c>
      <c r="B5" s="82" t="s">
        <v>236</v>
      </c>
      <c r="C5" s="81" t="s">
        <v>394</v>
      </c>
      <c r="D5" s="62" t="s">
        <v>489</v>
      </c>
      <c r="E5" s="62" t="s">
        <v>490</v>
      </c>
      <c r="F5" s="74" t="s">
        <v>93</v>
      </c>
      <c r="G5" s="75" t="s">
        <v>36</v>
      </c>
      <c r="H5" s="76">
        <v>42.99</v>
      </c>
      <c r="I5" s="77" t="s">
        <v>392</v>
      </c>
      <c r="J5" s="41">
        <f>H5/6</f>
        <v>7.165</v>
      </c>
      <c r="K5" s="14" t="s">
        <v>17</v>
      </c>
      <c r="L5" s="78">
        <f>J5/55</f>
        <v>0.13027272727272726</v>
      </c>
    </row>
    <row r="6" spans="1:16" x14ac:dyDescent="0.35">
      <c r="A6" s="85">
        <v>44562</v>
      </c>
      <c r="B6" s="82" t="s">
        <v>236</v>
      </c>
      <c r="C6" s="81" t="s">
        <v>124</v>
      </c>
      <c r="D6" s="62" t="s">
        <v>489</v>
      </c>
      <c r="E6" s="62" t="s">
        <v>490</v>
      </c>
      <c r="F6" s="74" t="s">
        <v>245</v>
      </c>
      <c r="G6" s="75" t="s">
        <v>320</v>
      </c>
      <c r="H6" s="76">
        <v>12.99</v>
      </c>
      <c r="I6" s="77" t="s">
        <v>416</v>
      </c>
      <c r="J6" s="41">
        <f>H6/128</f>
        <v>0.101484375</v>
      </c>
      <c r="K6" s="14" t="s">
        <v>17</v>
      </c>
      <c r="L6" s="78">
        <f>H6/135.5</f>
        <v>9.5867158671586711E-2</v>
      </c>
    </row>
    <row r="7" spans="1:16" x14ac:dyDescent="0.35">
      <c r="A7" s="85">
        <v>44562</v>
      </c>
      <c r="B7" s="82" t="s">
        <v>236</v>
      </c>
      <c r="C7" s="81" t="s">
        <v>124</v>
      </c>
      <c r="D7" s="62" t="s">
        <v>489</v>
      </c>
      <c r="E7" s="62" t="s">
        <v>490</v>
      </c>
      <c r="F7" s="74" t="s">
        <v>225</v>
      </c>
      <c r="G7" s="75" t="s">
        <v>36</v>
      </c>
      <c r="H7" s="76">
        <v>22.99</v>
      </c>
      <c r="I7" s="77" t="s">
        <v>320</v>
      </c>
      <c r="J7" s="41">
        <f>H7/4</f>
        <v>5.7474999999999996</v>
      </c>
      <c r="K7" s="14" t="s">
        <v>17</v>
      </c>
      <c r="L7" s="78">
        <f>J7/64</f>
        <v>8.9804687499999994E-2</v>
      </c>
    </row>
    <row r="8" spans="1:16" x14ac:dyDescent="0.35">
      <c r="A8" s="85">
        <v>44562</v>
      </c>
      <c r="B8" s="94" t="s">
        <v>236</v>
      </c>
      <c r="C8" s="93" t="s">
        <v>124</v>
      </c>
      <c r="D8" s="62" t="s">
        <v>489</v>
      </c>
      <c r="E8" s="62" t="s">
        <v>490</v>
      </c>
      <c r="F8" s="74" t="s">
        <v>147</v>
      </c>
      <c r="G8" s="75" t="s">
        <v>414</v>
      </c>
      <c r="H8" s="76">
        <v>100</v>
      </c>
      <c r="I8" s="77" t="s">
        <v>435</v>
      </c>
      <c r="J8" s="41">
        <f>H8/10</f>
        <v>10</v>
      </c>
      <c r="K8" s="14" t="s">
        <v>17</v>
      </c>
      <c r="L8" s="78">
        <f>J8/16</f>
        <v>0.625</v>
      </c>
    </row>
    <row r="9" spans="1:16" x14ac:dyDescent="0.35">
      <c r="A9" s="85">
        <v>44562</v>
      </c>
      <c r="B9" s="82" t="s">
        <v>236</v>
      </c>
      <c r="C9" s="81" t="s">
        <v>394</v>
      </c>
      <c r="D9" s="62" t="s">
        <v>489</v>
      </c>
      <c r="E9" s="62" t="s">
        <v>490</v>
      </c>
      <c r="F9" s="74" t="s">
        <v>238</v>
      </c>
      <c r="G9" s="75" t="s">
        <v>36</v>
      </c>
      <c r="H9" s="76">
        <v>45.99</v>
      </c>
      <c r="I9" s="77" t="s">
        <v>392</v>
      </c>
      <c r="J9" s="41">
        <f>H9/6</f>
        <v>7.665</v>
      </c>
      <c r="K9" s="14" t="s">
        <v>17</v>
      </c>
      <c r="L9" s="78">
        <f>J9/62</f>
        <v>0.12362903225806451</v>
      </c>
    </row>
    <row r="10" spans="1:16" x14ac:dyDescent="0.35">
      <c r="A10" s="85">
        <v>44562</v>
      </c>
      <c r="B10" s="82" t="s">
        <v>236</v>
      </c>
      <c r="C10" s="81" t="s">
        <v>124</v>
      </c>
      <c r="D10" s="62" t="s">
        <v>489</v>
      </c>
      <c r="E10" s="62" t="s">
        <v>490</v>
      </c>
      <c r="F10" s="74" t="s">
        <v>246</v>
      </c>
      <c r="G10" s="75" t="s">
        <v>414</v>
      </c>
      <c r="H10" s="76">
        <v>29.99</v>
      </c>
      <c r="I10" s="77" t="s">
        <v>320</v>
      </c>
      <c r="J10" s="41">
        <f>H10/5</f>
        <v>5.9979999999999993</v>
      </c>
      <c r="K10" s="14" t="s">
        <v>415</v>
      </c>
      <c r="L10" s="78">
        <f>H10/300</f>
        <v>9.9966666666666662E-2</v>
      </c>
    </row>
    <row r="11" spans="1:16" x14ac:dyDescent="0.35">
      <c r="A11" s="85">
        <v>44562</v>
      </c>
      <c r="B11" s="82" t="s">
        <v>236</v>
      </c>
      <c r="C11" s="81" t="s">
        <v>394</v>
      </c>
      <c r="D11" s="62" t="s">
        <v>489</v>
      </c>
      <c r="E11" s="62" t="s">
        <v>490</v>
      </c>
      <c r="F11" s="74" t="s">
        <v>100</v>
      </c>
      <c r="G11" s="75" t="s">
        <v>36</v>
      </c>
      <c r="H11" s="76">
        <v>35.78</v>
      </c>
      <c r="I11" s="77" t="s">
        <v>392</v>
      </c>
      <c r="J11" s="41">
        <f>H11/6</f>
        <v>5.9633333333333338</v>
      </c>
      <c r="K11" s="14" t="s">
        <v>17</v>
      </c>
      <c r="L11" s="78">
        <f>J11/107</f>
        <v>5.5732087227414337E-2</v>
      </c>
    </row>
    <row r="12" spans="1:16" x14ac:dyDescent="0.35">
      <c r="A12" s="85">
        <v>44562</v>
      </c>
      <c r="B12" s="82" t="s">
        <v>236</v>
      </c>
      <c r="C12" s="81" t="s">
        <v>124</v>
      </c>
      <c r="D12" s="62" t="s">
        <v>489</v>
      </c>
      <c r="E12" s="62" t="s">
        <v>490</v>
      </c>
      <c r="F12" s="74" t="s">
        <v>164</v>
      </c>
      <c r="G12" s="75" t="s">
        <v>36</v>
      </c>
      <c r="I12" s="77" t="s">
        <v>418</v>
      </c>
      <c r="J12" s="41">
        <v>15</v>
      </c>
      <c r="K12" s="14" t="s">
        <v>416</v>
      </c>
      <c r="L12" s="78">
        <f>J12/128</f>
        <v>0.1171875</v>
      </c>
    </row>
    <row r="13" spans="1:16" x14ac:dyDescent="0.35">
      <c r="A13" s="85">
        <v>44562</v>
      </c>
      <c r="B13" s="82" t="s">
        <v>236</v>
      </c>
      <c r="C13" s="81" t="s">
        <v>394</v>
      </c>
      <c r="D13" s="62" t="s">
        <v>489</v>
      </c>
      <c r="E13" s="62" t="s">
        <v>490</v>
      </c>
      <c r="F13" s="74" t="s">
        <v>274</v>
      </c>
      <c r="G13" s="75" t="s">
        <v>36</v>
      </c>
      <c r="H13" s="76">
        <v>50</v>
      </c>
      <c r="I13" s="77" t="s">
        <v>392</v>
      </c>
      <c r="J13" s="41">
        <f>H13/6</f>
        <v>8.3333333333333339</v>
      </c>
      <c r="K13" s="14" t="s">
        <v>405</v>
      </c>
      <c r="L13" s="78">
        <f>J13/3.4</f>
        <v>2.4509803921568629</v>
      </c>
    </row>
    <row r="14" spans="1:16" x14ac:dyDescent="0.35">
      <c r="A14" s="85">
        <v>44562</v>
      </c>
      <c r="B14" s="82" t="s">
        <v>236</v>
      </c>
      <c r="C14" s="81" t="s">
        <v>394</v>
      </c>
      <c r="D14" s="62" t="s">
        <v>489</v>
      </c>
      <c r="E14" s="62" t="s">
        <v>490</v>
      </c>
      <c r="F14" s="74" t="s">
        <v>404</v>
      </c>
      <c r="G14" s="75" t="s">
        <v>36</v>
      </c>
      <c r="H14" s="76">
        <v>33.99</v>
      </c>
      <c r="I14" s="77" t="s">
        <v>392</v>
      </c>
      <c r="J14" s="41">
        <f>H14/6</f>
        <v>5.665</v>
      </c>
    </row>
    <row r="15" spans="1:16" x14ac:dyDescent="0.35">
      <c r="A15" s="85">
        <v>44562</v>
      </c>
      <c r="B15" s="82" t="s">
        <v>236</v>
      </c>
      <c r="C15" s="81" t="s">
        <v>124</v>
      </c>
      <c r="D15" s="62" t="s">
        <v>489</v>
      </c>
      <c r="E15" s="62" t="s">
        <v>490</v>
      </c>
      <c r="F15" s="74" t="s">
        <v>237</v>
      </c>
      <c r="G15" s="75" t="s">
        <v>36</v>
      </c>
      <c r="H15" s="76">
        <v>29.75</v>
      </c>
      <c r="I15" s="77" t="s">
        <v>320</v>
      </c>
      <c r="J15" s="41">
        <f>H15/4</f>
        <v>7.4375</v>
      </c>
      <c r="K15" s="14" t="s">
        <v>17</v>
      </c>
      <c r="L15" s="78">
        <f>J15/74.375</f>
        <v>0.1</v>
      </c>
    </row>
    <row r="16" spans="1:16" x14ac:dyDescent="0.35">
      <c r="A16" s="85">
        <v>44562</v>
      </c>
      <c r="B16" s="104" t="s">
        <v>236</v>
      </c>
      <c r="C16" s="103" t="s">
        <v>124</v>
      </c>
      <c r="D16" s="62" t="s">
        <v>489</v>
      </c>
      <c r="E16" s="62" t="s">
        <v>490</v>
      </c>
      <c r="F16" s="74" t="s">
        <v>318</v>
      </c>
      <c r="G16" s="75" t="s">
        <v>464</v>
      </c>
      <c r="H16" s="76">
        <v>2.29</v>
      </c>
      <c r="I16" s="77" t="s">
        <v>416</v>
      </c>
      <c r="J16" s="41">
        <f>H16/10</f>
        <v>0.22900000000000001</v>
      </c>
    </row>
    <row r="17" spans="1:16" x14ac:dyDescent="0.35">
      <c r="A17" s="85">
        <v>44562</v>
      </c>
      <c r="B17" s="82" t="s">
        <v>123</v>
      </c>
      <c r="C17" s="81" t="s">
        <v>124</v>
      </c>
      <c r="D17" s="62" t="s">
        <v>489</v>
      </c>
      <c r="E17" s="62" t="s">
        <v>490</v>
      </c>
      <c r="F17" s="74" t="s">
        <v>240</v>
      </c>
      <c r="G17" s="75" t="s">
        <v>36</v>
      </c>
      <c r="H17" s="76">
        <v>50</v>
      </c>
      <c r="I17" s="77" t="s">
        <v>37</v>
      </c>
      <c r="J17" s="41">
        <f>H17/20</f>
        <v>2.5</v>
      </c>
      <c r="K17" s="14" t="s">
        <v>17</v>
      </c>
      <c r="L17" s="78">
        <f t="shared" ref="L17:L26" si="0">J17/16</f>
        <v>0.15625</v>
      </c>
      <c r="M17" s="79" t="s">
        <v>400</v>
      </c>
      <c r="N17" s="80">
        <v>0.67</v>
      </c>
      <c r="O17" s="72" t="s">
        <v>17</v>
      </c>
      <c r="P17" s="96">
        <f>L17*N17</f>
        <v>0.1046875</v>
      </c>
    </row>
    <row r="18" spans="1:16" x14ac:dyDescent="0.35">
      <c r="A18" s="85">
        <v>44562</v>
      </c>
      <c r="B18" s="109" t="s">
        <v>123</v>
      </c>
      <c r="C18" s="108" t="s">
        <v>124</v>
      </c>
      <c r="D18" s="62" t="s">
        <v>489</v>
      </c>
      <c r="E18" s="62" t="s">
        <v>490</v>
      </c>
      <c r="F18" s="74" t="s">
        <v>312</v>
      </c>
      <c r="G18" s="75" t="s">
        <v>36</v>
      </c>
      <c r="H18" s="76">
        <v>10.99</v>
      </c>
      <c r="I18" s="77" t="s">
        <v>73</v>
      </c>
      <c r="J18" s="41">
        <f>H18/4</f>
        <v>2.7475000000000001</v>
      </c>
      <c r="K18" s="14" t="s">
        <v>475</v>
      </c>
      <c r="L18" s="78">
        <f>J18/4</f>
        <v>0.68687500000000001</v>
      </c>
      <c r="P18" s="96"/>
    </row>
    <row r="19" spans="1:16" x14ac:dyDescent="0.35">
      <c r="A19" s="85">
        <v>44562</v>
      </c>
      <c r="B19" s="107" t="s">
        <v>123</v>
      </c>
      <c r="C19" s="106" t="s">
        <v>124</v>
      </c>
      <c r="D19" s="62" t="s">
        <v>489</v>
      </c>
      <c r="E19" s="62" t="s">
        <v>490</v>
      </c>
      <c r="F19" s="74" t="s">
        <v>314</v>
      </c>
      <c r="G19" s="75" t="s">
        <v>467</v>
      </c>
      <c r="H19" s="76">
        <v>1.59</v>
      </c>
      <c r="P19" s="96"/>
    </row>
    <row r="20" spans="1:16" x14ac:dyDescent="0.35">
      <c r="A20" s="85">
        <v>44562</v>
      </c>
      <c r="B20" s="82" t="s">
        <v>123</v>
      </c>
      <c r="C20" s="81" t="s">
        <v>205</v>
      </c>
      <c r="D20" s="62" t="s">
        <v>489</v>
      </c>
      <c r="E20" s="62" t="s">
        <v>490</v>
      </c>
      <c r="F20" s="74" t="s">
        <v>165</v>
      </c>
      <c r="G20" s="75" t="s">
        <v>36</v>
      </c>
      <c r="H20" s="76">
        <v>50</v>
      </c>
      <c r="I20" s="77" t="s">
        <v>37</v>
      </c>
      <c r="J20" s="41">
        <f>H20/20</f>
        <v>2.5</v>
      </c>
      <c r="K20" s="14" t="s">
        <v>17</v>
      </c>
      <c r="L20" s="78">
        <f t="shared" si="0"/>
        <v>0.15625</v>
      </c>
    </row>
    <row r="21" spans="1:16" x14ac:dyDescent="0.35">
      <c r="A21" s="85">
        <v>44562</v>
      </c>
      <c r="B21" s="82" t="s">
        <v>123</v>
      </c>
      <c r="C21" s="81" t="s">
        <v>124</v>
      </c>
      <c r="D21" s="62" t="s">
        <v>489</v>
      </c>
      <c r="E21" s="62" t="s">
        <v>490</v>
      </c>
      <c r="F21" s="74" t="s">
        <v>148</v>
      </c>
      <c r="G21" s="75" t="s">
        <v>36</v>
      </c>
      <c r="H21" s="76">
        <v>55</v>
      </c>
      <c r="I21" s="77" t="s">
        <v>37</v>
      </c>
      <c r="J21" s="41">
        <f>H21/16</f>
        <v>3.4375</v>
      </c>
      <c r="K21" s="14" t="s">
        <v>17</v>
      </c>
      <c r="L21" s="78">
        <f t="shared" si="0"/>
        <v>0.21484375</v>
      </c>
    </row>
    <row r="22" spans="1:16" x14ac:dyDescent="0.35">
      <c r="A22" s="85">
        <v>44562</v>
      </c>
      <c r="B22" s="82" t="s">
        <v>123</v>
      </c>
      <c r="C22" s="81" t="s">
        <v>124</v>
      </c>
      <c r="D22" s="62" t="s">
        <v>489</v>
      </c>
      <c r="E22" s="62" t="s">
        <v>490</v>
      </c>
      <c r="F22" s="74" t="s">
        <v>3</v>
      </c>
      <c r="G22" s="75" t="s">
        <v>36</v>
      </c>
      <c r="H22" s="76">
        <v>300</v>
      </c>
      <c r="I22" s="77" t="s">
        <v>37</v>
      </c>
      <c r="J22" s="41">
        <v>2.93</v>
      </c>
      <c r="K22" s="14" t="s">
        <v>17</v>
      </c>
      <c r="L22" s="78">
        <f t="shared" si="0"/>
        <v>0.18312500000000001</v>
      </c>
    </row>
    <row r="23" spans="1:16" x14ac:dyDescent="0.35">
      <c r="A23" s="85">
        <v>44562</v>
      </c>
      <c r="B23" s="82" t="s">
        <v>123</v>
      </c>
      <c r="C23" s="81" t="s">
        <v>124</v>
      </c>
      <c r="D23" s="62" t="s">
        <v>489</v>
      </c>
      <c r="E23" s="62" t="s">
        <v>490</v>
      </c>
      <c r="F23" s="74" t="s">
        <v>104</v>
      </c>
      <c r="G23" s="75" t="s">
        <v>396</v>
      </c>
      <c r="H23" s="76">
        <v>25</v>
      </c>
      <c r="I23" s="77" t="s">
        <v>37</v>
      </c>
      <c r="J23" s="41">
        <f>H23/3</f>
        <v>8.3333333333333339</v>
      </c>
      <c r="K23" s="14" t="s">
        <v>17</v>
      </c>
      <c r="L23" s="78">
        <f t="shared" si="0"/>
        <v>0.52083333333333337</v>
      </c>
    </row>
    <row r="24" spans="1:16" x14ac:dyDescent="0.35">
      <c r="A24" s="85">
        <v>44562</v>
      </c>
      <c r="B24" s="82" t="s">
        <v>123</v>
      </c>
      <c r="C24" s="81" t="s">
        <v>124</v>
      </c>
      <c r="D24" s="62" t="s">
        <v>489</v>
      </c>
      <c r="E24" s="62" t="s">
        <v>490</v>
      </c>
      <c r="F24" s="74" t="s">
        <v>239</v>
      </c>
      <c r="G24" s="75" t="s">
        <v>36</v>
      </c>
      <c r="H24" s="76">
        <v>100</v>
      </c>
      <c r="I24" s="77" t="s">
        <v>37</v>
      </c>
      <c r="J24" s="41">
        <v>2.67</v>
      </c>
      <c r="K24" s="14" t="s">
        <v>17</v>
      </c>
      <c r="L24" s="78">
        <f t="shared" si="0"/>
        <v>0.166875</v>
      </c>
      <c r="M24" s="79" t="s">
        <v>400</v>
      </c>
      <c r="N24" s="80">
        <v>0.75</v>
      </c>
      <c r="O24" s="72" t="s">
        <v>17</v>
      </c>
      <c r="P24" s="96">
        <f>L24*N24</f>
        <v>0.12515625</v>
      </c>
    </row>
    <row r="25" spans="1:16" x14ac:dyDescent="0.35">
      <c r="A25" s="85">
        <v>44562</v>
      </c>
      <c r="B25" s="82" t="s">
        <v>123</v>
      </c>
      <c r="C25" s="81" t="s">
        <v>124</v>
      </c>
      <c r="D25" s="62" t="s">
        <v>489</v>
      </c>
      <c r="E25" s="62" t="s">
        <v>490</v>
      </c>
      <c r="F25" s="74" t="s">
        <v>82</v>
      </c>
      <c r="G25" s="75" t="s">
        <v>36</v>
      </c>
      <c r="H25" s="76">
        <v>45</v>
      </c>
      <c r="I25" s="77" t="s">
        <v>37</v>
      </c>
      <c r="J25" s="41">
        <f>H25/18</f>
        <v>2.5</v>
      </c>
      <c r="K25" s="14" t="s">
        <v>17</v>
      </c>
      <c r="L25" s="78">
        <f t="shared" si="0"/>
        <v>0.15625</v>
      </c>
      <c r="M25" s="79" t="s">
        <v>471</v>
      </c>
      <c r="N25" s="80">
        <v>9.15</v>
      </c>
      <c r="O25" s="72" t="s">
        <v>17</v>
      </c>
      <c r="P25" s="96">
        <f>L25*N25</f>
        <v>1.4296875</v>
      </c>
    </row>
    <row r="26" spans="1:16" x14ac:dyDescent="0.35">
      <c r="A26" s="85">
        <v>44562</v>
      </c>
      <c r="B26" s="82" t="s">
        <v>123</v>
      </c>
      <c r="C26" s="81" t="s">
        <v>124</v>
      </c>
      <c r="D26" s="62" t="s">
        <v>489</v>
      </c>
      <c r="E26" s="62" t="s">
        <v>490</v>
      </c>
      <c r="F26" s="74" t="s">
        <v>229</v>
      </c>
      <c r="G26" s="75" t="s">
        <v>396</v>
      </c>
      <c r="H26" s="76">
        <v>30</v>
      </c>
      <c r="I26" s="77" t="s">
        <v>37</v>
      </c>
      <c r="J26" s="41">
        <f>H26/5</f>
        <v>6</v>
      </c>
      <c r="K26" s="14" t="s">
        <v>17</v>
      </c>
      <c r="L26" s="78">
        <f t="shared" si="0"/>
        <v>0.375</v>
      </c>
    </row>
    <row r="27" spans="1:16" x14ac:dyDescent="0.35">
      <c r="A27" s="85">
        <v>44562</v>
      </c>
      <c r="B27" s="104" t="s">
        <v>123</v>
      </c>
      <c r="C27" s="103" t="s">
        <v>124</v>
      </c>
      <c r="D27" s="62" t="s">
        <v>489</v>
      </c>
      <c r="E27" s="62" t="s">
        <v>490</v>
      </c>
      <c r="F27" s="74" t="s">
        <v>460</v>
      </c>
      <c r="G27" s="75" t="s">
        <v>16</v>
      </c>
      <c r="H27" s="76">
        <v>6.56</v>
      </c>
      <c r="I27" s="77" t="s">
        <v>37</v>
      </c>
      <c r="J27" s="41">
        <f>H27/5</f>
        <v>1.3119999999999998</v>
      </c>
      <c r="K27" s="14" t="s">
        <v>17</v>
      </c>
      <c r="L27" s="78">
        <f>J27/16</f>
        <v>8.199999999999999E-2</v>
      </c>
    </row>
    <row r="28" spans="1:16" x14ac:dyDescent="0.35">
      <c r="A28" s="85">
        <v>44562</v>
      </c>
      <c r="B28" s="6" t="s">
        <v>263</v>
      </c>
      <c r="C28" s="33" t="s">
        <v>395</v>
      </c>
      <c r="D28" s="62" t="s">
        <v>489</v>
      </c>
      <c r="E28" s="62" t="s">
        <v>490</v>
      </c>
      <c r="F28" s="74" t="s">
        <v>270</v>
      </c>
      <c r="G28" s="75" t="s">
        <v>36</v>
      </c>
      <c r="H28" s="76">
        <v>16.559999999999999</v>
      </c>
      <c r="I28" s="77" t="s">
        <v>393</v>
      </c>
      <c r="J28" s="41">
        <f>H28/60</f>
        <v>0.27599999999999997</v>
      </c>
      <c r="K28" s="14" t="s">
        <v>17</v>
      </c>
      <c r="L28" s="78">
        <f>J28/1.5</f>
        <v>0.18399999999999997</v>
      </c>
    </row>
    <row r="29" spans="1:16" x14ac:dyDescent="0.35">
      <c r="A29" s="85">
        <v>44562</v>
      </c>
      <c r="B29" s="6" t="s">
        <v>263</v>
      </c>
      <c r="C29" s="33" t="s">
        <v>124</v>
      </c>
      <c r="D29" s="62" t="s">
        <v>489</v>
      </c>
      <c r="E29" s="62" t="s">
        <v>490</v>
      </c>
      <c r="F29" s="74" t="s">
        <v>271</v>
      </c>
      <c r="G29" s="75" t="s">
        <v>36</v>
      </c>
      <c r="H29" s="76">
        <v>42</v>
      </c>
      <c r="I29" s="77" t="s">
        <v>436</v>
      </c>
      <c r="J29" s="41">
        <v>21</v>
      </c>
      <c r="K29" s="14" t="s">
        <v>416</v>
      </c>
      <c r="L29" s="78">
        <f>J29/33.814</f>
        <v>0.62104453776542257</v>
      </c>
    </row>
    <row r="30" spans="1:16" x14ac:dyDescent="0.35">
      <c r="A30" s="85">
        <v>44562</v>
      </c>
      <c r="B30" s="6" t="s">
        <v>263</v>
      </c>
      <c r="C30" s="33" t="s">
        <v>124</v>
      </c>
      <c r="D30" s="62" t="s">
        <v>489</v>
      </c>
      <c r="E30" s="62" t="s">
        <v>490</v>
      </c>
      <c r="F30" s="74" t="s">
        <v>49</v>
      </c>
      <c r="G30" s="75" t="s">
        <v>36</v>
      </c>
      <c r="H30" s="76">
        <v>65.53</v>
      </c>
      <c r="I30" s="77" t="s">
        <v>320</v>
      </c>
      <c r="J30" s="41">
        <f>H30/4</f>
        <v>16.3825</v>
      </c>
      <c r="K30" s="98" t="s">
        <v>416</v>
      </c>
      <c r="L30" s="78">
        <f>J30/128</f>
        <v>0.12798828125</v>
      </c>
    </row>
    <row r="31" spans="1:16" x14ac:dyDescent="0.35">
      <c r="A31" s="85">
        <v>44562</v>
      </c>
      <c r="B31" s="6" t="s">
        <v>263</v>
      </c>
      <c r="C31" s="33" t="s">
        <v>395</v>
      </c>
      <c r="D31" s="62" t="s">
        <v>489</v>
      </c>
      <c r="E31" s="62" t="s">
        <v>490</v>
      </c>
      <c r="F31" s="74" t="s">
        <v>264</v>
      </c>
      <c r="G31" s="75" t="s">
        <v>36</v>
      </c>
      <c r="H31" s="76">
        <v>18.690000000000001</v>
      </c>
      <c r="I31" s="77" t="s">
        <v>393</v>
      </c>
      <c r="J31" s="41">
        <f>H31/60</f>
        <v>0.3115</v>
      </c>
      <c r="K31" s="14" t="s">
        <v>17</v>
      </c>
      <c r="L31" s="78">
        <f>J31/1.5</f>
        <v>0.20766666666666667</v>
      </c>
    </row>
    <row r="32" spans="1:16" x14ac:dyDescent="0.35">
      <c r="A32" s="85">
        <v>44562</v>
      </c>
      <c r="B32" s="6" t="s">
        <v>263</v>
      </c>
      <c r="C32" s="33" t="s">
        <v>395</v>
      </c>
      <c r="D32" s="62" t="s">
        <v>489</v>
      </c>
      <c r="E32" s="62" t="s">
        <v>490</v>
      </c>
      <c r="F32" s="74" t="s">
        <v>268</v>
      </c>
      <c r="G32" s="75" t="s">
        <v>73</v>
      </c>
      <c r="H32" s="76">
        <v>15.68</v>
      </c>
      <c r="I32" s="77" t="s">
        <v>393</v>
      </c>
      <c r="J32" s="41">
        <f>H32/60</f>
        <v>0.26133333333333331</v>
      </c>
      <c r="K32" s="14" t="s">
        <v>17</v>
      </c>
      <c r="L32" s="78">
        <f>J32/1.5</f>
        <v>0.1742222222222222</v>
      </c>
    </row>
    <row r="33" spans="1:16" x14ac:dyDescent="0.35">
      <c r="A33" s="85">
        <v>44562</v>
      </c>
      <c r="B33" s="6" t="s">
        <v>263</v>
      </c>
      <c r="C33" s="33" t="s">
        <v>395</v>
      </c>
      <c r="D33" s="62" t="s">
        <v>489</v>
      </c>
      <c r="E33" s="62" t="s">
        <v>490</v>
      </c>
      <c r="F33" s="74" t="s">
        <v>269</v>
      </c>
      <c r="G33" s="75" t="s">
        <v>73</v>
      </c>
      <c r="H33" s="76">
        <v>16.54</v>
      </c>
      <c r="I33" s="77" t="s">
        <v>393</v>
      </c>
      <c r="J33" s="41">
        <f>H33/60</f>
        <v>0.27566666666666667</v>
      </c>
      <c r="K33" s="14" t="s">
        <v>17</v>
      </c>
      <c r="L33" s="78">
        <f>J33/1.5</f>
        <v>0.18377777777777779</v>
      </c>
    </row>
    <row r="34" spans="1:16" x14ac:dyDescent="0.35">
      <c r="A34" s="85">
        <v>44562</v>
      </c>
      <c r="B34" s="6" t="s">
        <v>263</v>
      </c>
      <c r="C34" s="33" t="s">
        <v>124</v>
      </c>
      <c r="D34" s="62" t="s">
        <v>489</v>
      </c>
      <c r="E34" s="62" t="s">
        <v>490</v>
      </c>
      <c r="F34" s="74" t="s">
        <v>32</v>
      </c>
      <c r="G34" s="75" t="s">
        <v>320</v>
      </c>
      <c r="H34" s="76">
        <v>14.09</v>
      </c>
      <c r="I34" s="77" t="s">
        <v>416</v>
      </c>
      <c r="J34" s="41">
        <f>H34/128</f>
        <v>0.110078125</v>
      </c>
    </row>
    <row r="35" spans="1:16" x14ac:dyDescent="0.35">
      <c r="A35" s="85">
        <v>44562</v>
      </c>
      <c r="B35" s="6" t="s">
        <v>263</v>
      </c>
      <c r="C35" s="33" t="s">
        <v>395</v>
      </c>
      <c r="D35" s="62" t="s">
        <v>489</v>
      </c>
      <c r="E35" s="62" t="s">
        <v>490</v>
      </c>
      <c r="F35" s="74" t="s">
        <v>266</v>
      </c>
      <c r="G35" s="75" t="s">
        <v>36</v>
      </c>
      <c r="H35" s="76">
        <v>14.83</v>
      </c>
      <c r="I35" s="77" t="s">
        <v>393</v>
      </c>
      <c r="J35" s="41">
        <f>H35/60</f>
        <v>0.24716666666666667</v>
      </c>
      <c r="K35" s="14" t="s">
        <v>17</v>
      </c>
      <c r="L35" s="78">
        <f>J35/1.5</f>
        <v>0.16477777777777777</v>
      </c>
    </row>
    <row r="36" spans="1:16" x14ac:dyDescent="0.35">
      <c r="A36" s="85">
        <v>44562</v>
      </c>
      <c r="B36" s="6" t="s">
        <v>263</v>
      </c>
      <c r="C36" s="33" t="s">
        <v>395</v>
      </c>
      <c r="D36" s="62" t="s">
        <v>489</v>
      </c>
      <c r="E36" s="62" t="s">
        <v>490</v>
      </c>
      <c r="F36" s="74" t="s">
        <v>267</v>
      </c>
      <c r="G36" s="75" t="s">
        <v>73</v>
      </c>
      <c r="H36" s="76">
        <v>14.4</v>
      </c>
      <c r="I36" s="77" t="s">
        <v>393</v>
      </c>
      <c r="J36" s="41">
        <f>H36/60</f>
        <v>0.24000000000000002</v>
      </c>
      <c r="K36" s="14" t="s">
        <v>17</v>
      </c>
      <c r="L36" s="78">
        <f>J36/1.5</f>
        <v>0.16</v>
      </c>
    </row>
    <row r="37" spans="1:16" x14ac:dyDescent="0.35">
      <c r="A37" s="85">
        <v>44562</v>
      </c>
      <c r="B37" s="6" t="s">
        <v>263</v>
      </c>
      <c r="C37" s="33" t="s">
        <v>124</v>
      </c>
      <c r="D37" s="62" t="s">
        <v>489</v>
      </c>
      <c r="E37" s="62" t="s">
        <v>490</v>
      </c>
      <c r="F37" s="74" t="s">
        <v>276</v>
      </c>
      <c r="G37" s="75" t="s">
        <v>36</v>
      </c>
      <c r="H37" s="76">
        <v>25.49</v>
      </c>
      <c r="I37" s="77" t="s">
        <v>320</v>
      </c>
      <c r="J37" s="41">
        <f>H37/4</f>
        <v>6.3724999999999996</v>
      </c>
      <c r="K37" s="14" t="s">
        <v>17</v>
      </c>
      <c r="L37" s="78">
        <f>J37/128</f>
        <v>4.9785156249999997E-2</v>
      </c>
    </row>
    <row r="38" spans="1:16" x14ac:dyDescent="0.35">
      <c r="A38" s="85">
        <v>44562</v>
      </c>
      <c r="B38" s="6" t="s">
        <v>263</v>
      </c>
      <c r="C38" s="33" t="s">
        <v>395</v>
      </c>
      <c r="D38" s="62" t="s">
        <v>489</v>
      </c>
      <c r="E38" s="62" t="s">
        <v>490</v>
      </c>
      <c r="F38" s="74" t="s">
        <v>277</v>
      </c>
      <c r="G38" s="75" t="s">
        <v>36</v>
      </c>
      <c r="H38" s="76">
        <v>7.63</v>
      </c>
      <c r="I38" s="77" t="s">
        <v>393</v>
      </c>
      <c r="J38" s="41">
        <f>H38/200</f>
        <v>3.8149999999999996E-2</v>
      </c>
      <c r="K38" s="14" t="s">
        <v>17</v>
      </c>
    </row>
    <row r="39" spans="1:16" x14ac:dyDescent="0.35">
      <c r="A39" s="85">
        <v>44562</v>
      </c>
      <c r="B39" s="6" t="s">
        <v>263</v>
      </c>
      <c r="C39" s="33" t="s">
        <v>124</v>
      </c>
      <c r="D39" s="62" t="s">
        <v>489</v>
      </c>
      <c r="E39" s="62" t="s">
        <v>490</v>
      </c>
      <c r="F39" s="74" t="s">
        <v>44</v>
      </c>
      <c r="G39" s="75" t="s">
        <v>36</v>
      </c>
      <c r="H39" s="76">
        <v>47</v>
      </c>
      <c r="I39" s="77" t="s">
        <v>320</v>
      </c>
      <c r="J39" s="41">
        <f>H39/4</f>
        <v>11.75</v>
      </c>
      <c r="K39" s="14" t="s">
        <v>416</v>
      </c>
      <c r="L39" s="78">
        <f>J39/128</f>
        <v>9.1796875E-2</v>
      </c>
    </row>
    <row r="40" spans="1:16" x14ac:dyDescent="0.35">
      <c r="A40" s="85">
        <v>44562</v>
      </c>
      <c r="B40" s="94" t="s">
        <v>263</v>
      </c>
      <c r="C40" s="33" t="s">
        <v>395</v>
      </c>
      <c r="D40" s="62" t="s">
        <v>489</v>
      </c>
      <c r="E40" s="62" t="s">
        <v>490</v>
      </c>
      <c r="F40" s="74" t="s">
        <v>265</v>
      </c>
      <c r="G40" s="75" t="s">
        <v>36</v>
      </c>
      <c r="H40" s="76">
        <v>15.72</v>
      </c>
      <c r="I40" s="77" t="s">
        <v>393</v>
      </c>
      <c r="J40" s="41">
        <f>H40/60</f>
        <v>0.26200000000000001</v>
      </c>
      <c r="K40" s="14" t="s">
        <v>17</v>
      </c>
      <c r="L40" s="78">
        <f>J40/1.5</f>
        <v>0.17466666666666666</v>
      </c>
    </row>
    <row r="41" spans="1:16" x14ac:dyDescent="0.35">
      <c r="A41" s="85">
        <v>44562</v>
      </c>
      <c r="B41" s="6" t="s">
        <v>263</v>
      </c>
      <c r="C41" s="33" t="s">
        <v>395</v>
      </c>
      <c r="D41" s="62" t="s">
        <v>489</v>
      </c>
      <c r="E41" s="62" t="s">
        <v>490</v>
      </c>
      <c r="F41" s="74" t="s">
        <v>441</v>
      </c>
      <c r="G41" s="75" t="s">
        <v>36</v>
      </c>
      <c r="H41" s="76">
        <v>34.56</v>
      </c>
      <c r="I41" s="77" t="s">
        <v>393</v>
      </c>
      <c r="J41" s="41">
        <f>H41/200</f>
        <v>0.17280000000000001</v>
      </c>
      <c r="K41" s="14" t="s">
        <v>416</v>
      </c>
      <c r="L41" s="78">
        <f>J41/0.75</f>
        <v>0.23040000000000002</v>
      </c>
    </row>
    <row r="42" spans="1:16" x14ac:dyDescent="0.35">
      <c r="A42" s="85">
        <v>44562</v>
      </c>
      <c r="B42" s="100" t="s">
        <v>231</v>
      </c>
      <c r="C42" s="99" t="s">
        <v>205</v>
      </c>
      <c r="D42" s="62" t="s">
        <v>489</v>
      </c>
      <c r="E42" s="62" t="s">
        <v>490</v>
      </c>
      <c r="F42" s="74" t="s">
        <v>443</v>
      </c>
      <c r="G42" s="75" t="s">
        <v>36</v>
      </c>
      <c r="H42" s="76">
        <v>74.89</v>
      </c>
      <c r="I42" s="77" t="s">
        <v>37</v>
      </c>
      <c r="J42" s="41">
        <f>H42/12</f>
        <v>6.2408333333333337</v>
      </c>
      <c r="K42" s="14" t="s">
        <v>17</v>
      </c>
      <c r="L42" s="78">
        <f>J42/16</f>
        <v>0.39005208333333335</v>
      </c>
    </row>
    <row r="43" spans="1:16" x14ac:dyDescent="0.35">
      <c r="A43" s="85">
        <v>44562</v>
      </c>
      <c r="B43" s="6" t="s">
        <v>231</v>
      </c>
      <c r="C43" s="33" t="s">
        <v>205</v>
      </c>
      <c r="D43" s="62" t="s">
        <v>489</v>
      </c>
      <c r="E43" s="62" t="s">
        <v>490</v>
      </c>
      <c r="F43" s="74" t="s">
        <v>204</v>
      </c>
      <c r="G43" s="75" t="s">
        <v>36</v>
      </c>
      <c r="H43" s="76">
        <v>30.29</v>
      </c>
      <c r="I43" s="77" t="s">
        <v>37</v>
      </c>
      <c r="J43" s="41">
        <f>H43/10</f>
        <v>3.0289999999999999</v>
      </c>
      <c r="K43" s="14" t="s">
        <v>17</v>
      </c>
      <c r="L43" s="78">
        <f t="shared" ref="L43:L51" si="1">J43/16</f>
        <v>0.18931249999999999</v>
      </c>
      <c r="M43" s="79" t="s">
        <v>400</v>
      </c>
      <c r="N43" s="80">
        <v>1.875</v>
      </c>
      <c r="O43" s="72" t="s">
        <v>17</v>
      </c>
      <c r="P43" s="96">
        <f>N43*L43</f>
        <v>0.35496093750000002</v>
      </c>
    </row>
    <row r="44" spans="1:16" x14ac:dyDescent="0.35">
      <c r="A44" s="85">
        <v>44562</v>
      </c>
      <c r="B44" s="6" t="s">
        <v>231</v>
      </c>
      <c r="C44" s="33" t="s">
        <v>205</v>
      </c>
      <c r="D44" s="62" t="s">
        <v>489</v>
      </c>
      <c r="E44" s="62" t="s">
        <v>490</v>
      </c>
      <c r="F44" s="74" t="s">
        <v>4</v>
      </c>
      <c r="G44" s="75" t="s">
        <v>36</v>
      </c>
      <c r="H44" s="76">
        <v>24.49</v>
      </c>
      <c r="I44" s="77" t="s">
        <v>37</v>
      </c>
      <c r="J44" s="41">
        <f>H44/27</f>
        <v>0.90703703703703698</v>
      </c>
      <c r="K44" s="14" t="s">
        <v>17</v>
      </c>
      <c r="L44" s="78">
        <f t="shared" si="1"/>
        <v>5.6689814814814811E-2</v>
      </c>
    </row>
    <row r="45" spans="1:16" x14ac:dyDescent="0.35">
      <c r="A45" s="85">
        <v>44562</v>
      </c>
      <c r="B45" s="6" t="s">
        <v>231</v>
      </c>
      <c r="C45" s="33" t="s">
        <v>205</v>
      </c>
      <c r="D45" s="62" t="s">
        <v>489</v>
      </c>
      <c r="E45" s="62" t="s">
        <v>490</v>
      </c>
      <c r="F45" s="74" t="s">
        <v>43</v>
      </c>
      <c r="G45" s="75" t="s">
        <v>36</v>
      </c>
      <c r="H45" s="76">
        <v>29.99</v>
      </c>
      <c r="I45" s="77" t="s">
        <v>37</v>
      </c>
      <c r="J45" s="41">
        <f>H45/12</f>
        <v>2.4991666666666665</v>
      </c>
      <c r="K45" s="14" t="s">
        <v>17</v>
      </c>
      <c r="L45" s="78">
        <f t="shared" si="1"/>
        <v>0.15619791666666666</v>
      </c>
    </row>
    <row r="46" spans="1:16" x14ac:dyDescent="0.35">
      <c r="A46" s="85">
        <v>44562</v>
      </c>
      <c r="B46" s="6" t="s">
        <v>231</v>
      </c>
      <c r="C46" s="33" t="s">
        <v>205</v>
      </c>
      <c r="D46" s="62" t="s">
        <v>489</v>
      </c>
      <c r="E46" s="62" t="s">
        <v>490</v>
      </c>
      <c r="F46" s="74" t="s">
        <v>46</v>
      </c>
      <c r="G46" s="75" t="s">
        <v>36</v>
      </c>
      <c r="H46" s="76">
        <v>27.49</v>
      </c>
      <c r="I46" s="77" t="s">
        <v>37</v>
      </c>
      <c r="J46" s="41">
        <f>H46/8</f>
        <v>3.4362499999999998</v>
      </c>
      <c r="K46" s="14" t="s">
        <v>17</v>
      </c>
      <c r="L46" s="78">
        <f t="shared" si="1"/>
        <v>0.21476562499999999</v>
      </c>
    </row>
    <row r="47" spans="1:16" x14ac:dyDescent="0.35">
      <c r="A47" s="85">
        <v>44562</v>
      </c>
      <c r="B47" s="6" t="s">
        <v>231</v>
      </c>
      <c r="C47" s="33" t="s">
        <v>205</v>
      </c>
      <c r="D47" s="62" t="s">
        <v>489</v>
      </c>
      <c r="E47" s="62" t="s">
        <v>490</v>
      </c>
      <c r="F47" s="74" t="s">
        <v>41</v>
      </c>
      <c r="G47" s="75" t="s">
        <v>36</v>
      </c>
      <c r="H47" s="76">
        <v>39.29</v>
      </c>
      <c r="I47" s="77" t="s">
        <v>37</v>
      </c>
      <c r="J47" s="41">
        <f>H47/10</f>
        <v>3.9289999999999998</v>
      </c>
      <c r="K47" s="14" t="s">
        <v>17</v>
      </c>
      <c r="L47" s="78">
        <f t="shared" si="1"/>
        <v>0.24556249999999999</v>
      </c>
      <c r="M47" s="79" t="s">
        <v>401</v>
      </c>
      <c r="N47" s="80">
        <v>0.6</v>
      </c>
      <c r="O47" s="72" t="s">
        <v>17</v>
      </c>
      <c r="P47" s="96">
        <f>N47*L47</f>
        <v>0.14733749999999998</v>
      </c>
    </row>
    <row r="48" spans="1:16" x14ac:dyDescent="0.35">
      <c r="A48" s="85">
        <v>44562</v>
      </c>
      <c r="B48" s="100" t="s">
        <v>231</v>
      </c>
      <c r="C48" s="99" t="s">
        <v>205</v>
      </c>
      <c r="D48" s="62" t="s">
        <v>489</v>
      </c>
      <c r="E48" s="62" t="s">
        <v>490</v>
      </c>
      <c r="F48" s="74" t="s">
        <v>442</v>
      </c>
      <c r="G48" s="75" t="s">
        <v>36</v>
      </c>
      <c r="H48" s="76">
        <v>64.97</v>
      </c>
      <c r="I48" s="77" t="s">
        <v>37</v>
      </c>
      <c r="J48" s="41">
        <f>H48/12</f>
        <v>5.4141666666666666</v>
      </c>
      <c r="K48" s="14" t="s">
        <v>17</v>
      </c>
      <c r="L48" s="78">
        <f>J48/16</f>
        <v>0.33838541666666666</v>
      </c>
      <c r="M48" s="79" t="s">
        <v>476</v>
      </c>
      <c r="N48" s="80">
        <v>1.175</v>
      </c>
      <c r="O48" s="72" t="s">
        <v>17</v>
      </c>
      <c r="P48" s="96">
        <f>N48*L48</f>
        <v>0.39760286458333333</v>
      </c>
    </row>
    <row r="49" spans="1:16" x14ac:dyDescent="0.35">
      <c r="A49" s="85">
        <v>44562</v>
      </c>
      <c r="B49" s="6" t="s">
        <v>231</v>
      </c>
      <c r="C49" s="33" t="s">
        <v>205</v>
      </c>
      <c r="D49" s="62" t="s">
        <v>489</v>
      </c>
      <c r="E49" s="62" t="s">
        <v>490</v>
      </c>
      <c r="F49" s="74" t="s">
        <v>38</v>
      </c>
      <c r="G49" s="75" t="s">
        <v>36</v>
      </c>
      <c r="H49" s="76">
        <v>42.84</v>
      </c>
      <c r="I49" s="77" t="s">
        <v>37</v>
      </c>
      <c r="J49" s="41">
        <f>H49/12</f>
        <v>3.5700000000000003</v>
      </c>
      <c r="K49" s="14" t="s">
        <v>17</v>
      </c>
      <c r="L49" s="78">
        <f t="shared" si="1"/>
        <v>0.22312500000000002</v>
      </c>
      <c r="M49" s="79" t="s">
        <v>402</v>
      </c>
      <c r="N49" s="80">
        <v>1.4750000000000001</v>
      </c>
      <c r="O49" s="72" t="s">
        <v>17</v>
      </c>
      <c r="P49" s="96">
        <f>N49*L49</f>
        <v>0.32910937500000004</v>
      </c>
    </row>
    <row r="50" spans="1:16" x14ac:dyDescent="0.35">
      <c r="A50" s="85">
        <v>44562</v>
      </c>
      <c r="B50" s="6" t="s">
        <v>231</v>
      </c>
      <c r="C50" s="33" t="s">
        <v>205</v>
      </c>
      <c r="D50" s="62" t="s">
        <v>489</v>
      </c>
      <c r="E50" s="62" t="s">
        <v>490</v>
      </c>
      <c r="F50" s="74" t="s">
        <v>34</v>
      </c>
      <c r="G50" s="75" t="s">
        <v>36</v>
      </c>
      <c r="H50" s="76">
        <v>22.99</v>
      </c>
      <c r="I50" s="77" t="s">
        <v>37</v>
      </c>
      <c r="J50" s="41">
        <f>H50/10</f>
        <v>2.2989999999999999</v>
      </c>
      <c r="K50" s="14" t="s">
        <v>17</v>
      </c>
      <c r="L50" s="78">
        <f t="shared" si="1"/>
        <v>0.1436875</v>
      </c>
    </row>
    <row r="51" spans="1:16" x14ac:dyDescent="0.35">
      <c r="A51" s="85">
        <v>44562</v>
      </c>
      <c r="B51" s="6" t="s">
        <v>231</v>
      </c>
      <c r="C51" s="33" t="s">
        <v>205</v>
      </c>
      <c r="D51" s="62" t="s">
        <v>489</v>
      </c>
      <c r="E51" s="62" t="s">
        <v>490</v>
      </c>
      <c r="F51" s="74" t="s">
        <v>444</v>
      </c>
      <c r="G51" s="75" t="s">
        <v>36</v>
      </c>
      <c r="H51" s="76">
        <v>64.349999999999994</v>
      </c>
      <c r="I51" s="77" t="s">
        <v>37</v>
      </c>
      <c r="J51" s="41">
        <f>H51/12</f>
        <v>5.3624999999999998</v>
      </c>
      <c r="K51" s="14" t="s">
        <v>17</v>
      </c>
      <c r="L51" s="78">
        <f t="shared" si="1"/>
        <v>0.33515624999999999</v>
      </c>
    </row>
    <row r="52" spans="1:16" x14ac:dyDescent="0.35">
      <c r="A52" s="85">
        <v>44562</v>
      </c>
      <c r="B52" s="6" t="s">
        <v>252</v>
      </c>
      <c r="C52" s="33" t="s">
        <v>205</v>
      </c>
      <c r="D52" s="62" t="s">
        <v>489</v>
      </c>
      <c r="E52" s="62" t="s">
        <v>490</v>
      </c>
      <c r="F52" s="74" t="s">
        <v>116</v>
      </c>
      <c r="G52" s="75" t="s">
        <v>36</v>
      </c>
      <c r="H52" s="76">
        <v>58</v>
      </c>
      <c r="I52" s="77" t="s">
        <v>292</v>
      </c>
      <c r="J52" s="41">
        <f>H52/10</f>
        <v>5.8</v>
      </c>
    </row>
    <row r="53" spans="1:16" x14ac:dyDescent="0.35">
      <c r="A53" s="85">
        <v>44562</v>
      </c>
      <c r="B53" s="6" t="s">
        <v>252</v>
      </c>
      <c r="C53" s="33" t="s">
        <v>205</v>
      </c>
      <c r="D53" s="62" t="s">
        <v>489</v>
      </c>
      <c r="E53" s="62" t="s">
        <v>490</v>
      </c>
      <c r="F53" s="74" t="s">
        <v>250</v>
      </c>
      <c r="G53" s="75" t="s">
        <v>36</v>
      </c>
      <c r="H53" s="76">
        <v>50</v>
      </c>
      <c r="I53" s="77" t="s">
        <v>396</v>
      </c>
      <c r="J53" s="41">
        <f>H53/6</f>
        <v>8.3333333333333339</v>
      </c>
      <c r="K53" s="14" t="s">
        <v>251</v>
      </c>
      <c r="L53" s="78">
        <f>J53/12</f>
        <v>0.69444444444444453</v>
      </c>
    </row>
    <row r="54" spans="1:16" x14ac:dyDescent="0.35">
      <c r="A54" s="85">
        <v>44562</v>
      </c>
      <c r="B54" s="107" t="s">
        <v>125</v>
      </c>
      <c r="C54" s="106" t="s">
        <v>394</v>
      </c>
      <c r="D54" s="62" t="s">
        <v>489</v>
      </c>
      <c r="E54" s="62" t="s">
        <v>490</v>
      </c>
      <c r="F54" s="74" t="s">
        <v>413</v>
      </c>
      <c r="G54" s="75" t="s">
        <v>36</v>
      </c>
      <c r="H54" s="76">
        <v>94.89</v>
      </c>
      <c r="I54" s="77" t="s">
        <v>392</v>
      </c>
      <c r="J54" s="41">
        <f>H54/6</f>
        <v>15.815</v>
      </c>
      <c r="K54" s="14" t="s">
        <v>17</v>
      </c>
      <c r="L54" s="78">
        <f>J54/66.5</f>
        <v>0.23781954887218043</v>
      </c>
    </row>
    <row r="55" spans="1:16" x14ac:dyDescent="0.35">
      <c r="A55" s="85">
        <v>44562</v>
      </c>
      <c r="B55" s="6" t="s">
        <v>125</v>
      </c>
      <c r="C55" s="33" t="s">
        <v>124</v>
      </c>
      <c r="D55" s="62" t="s">
        <v>489</v>
      </c>
      <c r="E55" s="62" t="s">
        <v>490</v>
      </c>
      <c r="F55" s="74" t="s">
        <v>99</v>
      </c>
      <c r="G55" s="75" t="s">
        <v>298</v>
      </c>
      <c r="H55" s="76">
        <v>13.1</v>
      </c>
      <c r="K55" s="14" t="s">
        <v>17</v>
      </c>
      <c r="L55" s="78">
        <f>H55/28</f>
        <v>0.46785714285714286</v>
      </c>
    </row>
    <row r="56" spans="1:16" x14ac:dyDescent="0.35">
      <c r="A56" s="85">
        <v>44562</v>
      </c>
      <c r="B56" s="6" t="s">
        <v>125</v>
      </c>
      <c r="C56" s="33" t="s">
        <v>205</v>
      </c>
      <c r="D56" s="62" t="s">
        <v>489</v>
      </c>
      <c r="E56" s="62" t="s">
        <v>490</v>
      </c>
      <c r="F56" s="74" t="s">
        <v>28</v>
      </c>
      <c r="G56" s="75" t="s">
        <v>36</v>
      </c>
      <c r="H56" s="76">
        <v>75</v>
      </c>
      <c r="I56" s="77" t="s">
        <v>37</v>
      </c>
      <c r="J56" s="41">
        <f>H56/10</f>
        <v>7.5</v>
      </c>
      <c r="K56" s="14" t="s">
        <v>17</v>
      </c>
      <c r="L56" s="78">
        <f t="shared" ref="L56:L62" si="2">J56/16</f>
        <v>0.46875</v>
      </c>
    </row>
    <row r="57" spans="1:16" x14ac:dyDescent="0.35">
      <c r="A57" s="85">
        <v>44562</v>
      </c>
      <c r="B57" s="82" t="s">
        <v>125</v>
      </c>
      <c r="C57" s="33" t="s">
        <v>205</v>
      </c>
      <c r="D57" s="62" t="s">
        <v>489</v>
      </c>
      <c r="E57" s="62" t="s">
        <v>490</v>
      </c>
      <c r="F57" s="74" t="s">
        <v>241</v>
      </c>
      <c r="G57" s="75" t="s">
        <v>36</v>
      </c>
      <c r="H57" s="76">
        <v>87</v>
      </c>
      <c r="I57" s="77" t="s">
        <v>37</v>
      </c>
      <c r="J57" s="41">
        <f>H57/15</f>
        <v>5.8</v>
      </c>
      <c r="K57" s="14" t="s">
        <v>17</v>
      </c>
      <c r="L57" s="78">
        <f t="shared" si="2"/>
        <v>0.36249999999999999</v>
      </c>
      <c r="M57" s="79" t="s">
        <v>226</v>
      </c>
      <c r="N57" s="80">
        <v>5.33</v>
      </c>
      <c r="O57" s="72" t="s">
        <v>17</v>
      </c>
      <c r="P57" s="96">
        <f>N57*L57</f>
        <v>1.9321249999999999</v>
      </c>
    </row>
    <row r="58" spans="1:16" x14ac:dyDescent="0.35">
      <c r="A58" s="85">
        <v>44562</v>
      </c>
      <c r="B58" s="82" t="s">
        <v>125</v>
      </c>
      <c r="C58" s="33" t="s">
        <v>124</v>
      </c>
      <c r="D58" s="62" t="s">
        <v>489</v>
      </c>
      <c r="E58" s="62" t="s">
        <v>490</v>
      </c>
      <c r="F58" s="74" t="s">
        <v>244</v>
      </c>
      <c r="G58" s="75" t="s">
        <v>36</v>
      </c>
      <c r="H58" s="76">
        <v>40.99</v>
      </c>
      <c r="I58" s="77" t="s">
        <v>37</v>
      </c>
      <c r="J58" s="41">
        <f>H58/10.08</f>
        <v>4.066468253968254</v>
      </c>
      <c r="K58" s="14" t="s">
        <v>17</v>
      </c>
      <c r="L58" s="78">
        <f t="shared" si="2"/>
        <v>0.25415426587301587</v>
      </c>
      <c r="M58" s="79" t="s">
        <v>400</v>
      </c>
      <c r="N58" s="80">
        <v>0.625</v>
      </c>
      <c r="O58" s="72" t="s">
        <v>17</v>
      </c>
      <c r="P58" s="96">
        <f>N58*L58</f>
        <v>0.15884641617063491</v>
      </c>
    </row>
    <row r="59" spans="1:16" x14ac:dyDescent="0.35">
      <c r="A59" s="85">
        <v>44562</v>
      </c>
      <c r="B59" s="82" t="s">
        <v>125</v>
      </c>
      <c r="C59" s="33" t="s">
        <v>124</v>
      </c>
      <c r="D59" s="62" t="s">
        <v>489</v>
      </c>
      <c r="E59" s="62" t="s">
        <v>490</v>
      </c>
      <c r="F59" s="74" t="s">
        <v>95</v>
      </c>
      <c r="G59" s="75" t="s">
        <v>36</v>
      </c>
      <c r="H59" s="76">
        <v>80.989999999999995</v>
      </c>
      <c r="I59" s="77" t="s">
        <v>37</v>
      </c>
      <c r="J59" s="41">
        <f>H59/40</f>
        <v>2.02475</v>
      </c>
      <c r="K59" s="14" t="s">
        <v>17</v>
      </c>
      <c r="L59" s="78">
        <f t="shared" si="2"/>
        <v>0.126546875</v>
      </c>
    </row>
    <row r="60" spans="1:16" x14ac:dyDescent="0.35">
      <c r="A60" s="85">
        <v>44562</v>
      </c>
      <c r="B60" s="82" t="s">
        <v>125</v>
      </c>
      <c r="C60" s="33" t="s">
        <v>205</v>
      </c>
      <c r="D60" s="62" t="s">
        <v>489</v>
      </c>
      <c r="E60" s="62" t="s">
        <v>490</v>
      </c>
      <c r="F60" s="74" t="s">
        <v>9</v>
      </c>
      <c r="G60" s="75" t="s">
        <v>36</v>
      </c>
      <c r="H60" s="76">
        <v>40</v>
      </c>
      <c r="I60" s="77" t="s">
        <v>37</v>
      </c>
      <c r="J60" s="41">
        <f>H60/10</f>
        <v>4</v>
      </c>
      <c r="K60" s="14" t="s">
        <v>17</v>
      </c>
      <c r="L60" s="78">
        <f t="shared" si="2"/>
        <v>0.25</v>
      </c>
      <c r="M60" s="79" t="s">
        <v>419</v>
      </c>
      <c r="N60" s="80">
        <v>1.9750000000000001</v>
      </c>
      <c r="O60" s="72" t="s">
        <v>17</v>
      </c>
      <c r="P60" s="96">
        <f>L60*N60</f>
        <v>0.49375000000000002</v>
      </c>
    </row>
    <row r="61" spans="1:16" x14ac:dyDescent="0.35">
      <c r="A61" s="85">
        <v>44562</v>
      </c>
      <c r="B61" s="82" t="s">
        <v>125</v>
      </c>
      <c r="C61" s="33" t="s">
        <v>205</v>
      </c>
      <c r="D61" s="62" t="s">
        <v>489</v>
      </c>
      <c r="E61" s="62" t="s">
        <v>490</v>
      </c>
      <c r="F61" s="74" t="s">
        <v>230</v>
      </c>
      <c r="G61" s="75" t="s">
        <v>36</v>
      </c>
      <c r="H61" s="76">
        <v>189.99</v>
      </c>
      <c r="I61" s="77" t="s">
        <v>37</v>
      </c>
      <c r="J61" s="41">
        <f>H61/30</f>
        <v>6.3330000000000002</v>
      </c>
      <c r="K61" s="14" t="s">
        <v>17</v>
      </c>
      <c r="L61" s="78">
        <f t="shared" si="2"/>
        <v>0.39581250000000001</v>
      </c>
      <c r="M61" s="79" t="s">
        <v>399</v>
      </c>
      <c r="N61" s="80">
        <v>2.13</v>
      </c>
      <c r="O61" s="72" t="s">
        <v>17</v>
      </c>
      <c r="P61" s="96">
        <f>L61*N61</f>
        <v>0.84308062500000003</v>
      </c>
    </row>
    <row r="62" spans="1:16" x14ac:dyDescent="0.35">
      <c r="A62" s="85">
        <v>44562</v>
      </c>
      <c r="B62" s="82" t="s">
        <v>125</v>
      </c>
      <c r="C62" s="33" t="s">
        <v>205</v>
      </c>
      <c r="D62" s="62" t="s">
        <v>489</v>
      </c>
      <c r="E62" s="62" t="s">
        <v>490</v>
      </c>
      <c r="F62" s="74" t="s">
        <v>242</v>
      </c>
      <c r="G62" s="75" t="s">
        <v>36</v>
      </c>
      <c r="H62" s="76">
        <v>75</v>
      </c>
      <c r="I62" s="77" t="s">
        <v>37</v>
      </c>
      <c r="J62" s="41">
        <f>H62/10</f>
        <v>7.5</v>
      </c>
      <c r="K62" s="14" t="s">
        <v>17</v>
      </c>
      <c r="L62" s="78">
        <f t="shared" si="2"/>
        <v>0.46875</v>
      </c>
      <c r="M62" s="79" t="s">
        <v>398</v>
      </c>
      <c r="N62" s="80">
        <v>4</v>
      </c>
      <c r="O62" s="72" t="s">
        <v>17</v>
      </c>
      <c r="P62" s="96">
        <f>L62*N62</f>
        <v>1.875</v>
      </c>
    </row>
    <row r="63" spans="1:16" x14ac:dyDescent="0.35">
      <c r="A63" s="85">
        <v>44562</v>
      </c>
      <c r="B63" s="82" t="s">
        <v>125</v>
      </c>
      <c r="C63" s="33" t="s">
        <v>205</v>
      </c>
      <c r="D63" s="62" t="s">
        <v>489</v>
      </c>
      <c r="E63" s="62" t="s">
        <v>490</v>
      </c>
      <c r="F63" s="74" t="s">
        <v>98</v>
      </c>
      <c r="G63" s="75" t="s">
        <v>36</v>
      </c>
      <c r="H63" s="76">
        <v>30</v>
      </c>
      <c r="I63" s="77" t="s">
        <v>37</v>
      </c>
      <c r="J63" s="41">
        <f>H63/9.56</f>
        <v>3.1380753138075312</v>
      </c>
      <c r="K63" s="14" t="s">
        <v>17</v>
      </c>
      <c r="L63" s="78">
        <f t="shared" ref="L63:L71" si="3">J63/16</f>
        <v>0.1961297071129707</v>
      </c>
    </row>
    <row r="64" spans="1:16" x14ac:dyDescent="0.35">
      <c r="A64" s="85">
        <v>44562</v>
      </c>
      <c r="B64" s="82" t="s">
        <v>125</v>
      </c>
      <c r="C64" s="33" t="s">
        <v>124</v>
      </c>
      <c r="D64" s="62" t="s">
        <v>489</v>
      </c>
      <c r="E64" s="62" t="s">
        <v>490</v>
      </c>
      <c r="F64" s="74" t="s">
        <v>88</v>
      </c>
      <c r="G64" s="75" t="s">
        <v>36</v>
      </c>
      <c r="H64" s="76">
        <v>70</v>
      </c>
      <c r="I64" s="77" t="s">
        <v>37</v>
      </c>
      <c r="J64" s="41">
        <f>H64/26</f>
        <v>2.6923076923076925</v>
      </c>
      <c r="K64" s="14" t="s">
        <v>17</v>
      </c>
      <c r="L64" s="78">
        <f t="shared" si="3"/>
        <v>0.16826923076923078</v>
      </c>
      <c r="M64" s="79" t="s">
        <v>400</v>
      </c>
      <c r="N64" s="80">
        <v>1.375</v>
      </c>
      <c r="O64" s="72" t="s">
        <v>17</v>
      </c>
      <c r="P64" s="96">
        <f>L64*N64</f>
        <v>0.23137019230769232</v>
      </c>
    </row>
    <row r="65" spans="1:16" x14ac:dyDescent="0.35">
      <c r="A65" s="85">
        <v>44562</v>
      </c>
      <c r="B65" s="6" t="s">
        <v>125</v>
      </c>
      <c r="C65" s="33" t="s">
        <v>205</v>
      </c>
      <c r="D65" s="62" t="s">
        <v>489</v>
      </c>
      <c r="E65" s="62" t="s">
        <v>490</v>
      </c>
      <c r="F65" s="74" t="s">
        <v>86</v>
      </c>
      <c r="G65" s="75" t="s">
        <v>36</v>
      </c>
      <c r="H65" s="76">
        <v>99.78</v>
      </c>
      <c r="I65" s="77" t="s">
        <v>37</v>
      </c>
      <c r="J65" s="41">
        <f>H65/21</f>
        <v>4.7514285714285718</v>
      </c>
      <c r="K65" s="14" t="s">
        <v>17</v>
      </c>
      <c r="L65" s="78">
        <f t="shared" si="3"/>
        <v>0.29696428571428574</v>
      </c>
    </row>
    <row r="66" spans="1:16" x14ac:dyDescent="0.35">
      <c r="A66" s="85">
        <v>44562</v>
      </c>
      <c r="B66" s="6" t="s">
        <v>125</v>
      </c>
      <c r="C66" s="33" t="s">
        <v>124</v>
      </c>
      <c r="D66" s="62" t="s">
        <v>489</v>
      </c>
      <c r="E66" s="62" t="s">
        <v>490</v>
      </c>
      <c r="F66" s="74" t="s">
        <v>94</v>
      </c>
      <c r="G66" s="75" t="s">
        <v>36</v>
      </c>
      <c r="H66" s="76">
        <v>76</v>
      </c>
      <c r="I66" s="77" t="s">
        <v>37</v>
      </c>
      <c r="J66" s="41">
        <f>H66/18.86</f>
        <v>4.0296924708377517</v>
      </c>
      <c r="K66" s="98" t="s">
        <v>17</v>
      </c>
      <c r="L66" s="78">
        <f t="shared" si="3"/>
        <v>0.25185577942735948</v>
      </c>
      <c r="M66" s="79" t="s">
        <v>400</v>
      </c>
      <c r="N66" s="80">
        <v>0.44</v>
      </c>
      <c r="O66" s="72" t="s">
        <v>17</v>
      </c>
      <c r="P66" s="96">
        <f>L66*N66</f>
        <v>0.11081654294803818</v>
      </c>
    </row>
    <row r="67" spans="1:16" x14ac:dyDescent="0.35">
      <c r="A67" s="85">
        <v>44562</v>
      </c>
      <c r="B67" s="6" t="s">
        <v>125</v>
      </c>
      <c r="C67" s="33" t="s">
        <v>205</v>
      </c>
      <c r="D67" s="62" t="s">
        <v>489</v>
      </c>
      <c r="E67" s="62" t="s">
        <v>490</v>
      </c>
      <c r="F67" s="74" t="s">
        <v>87</v>
      </c>
      <c r="G67" s="75" t="s">
        <v>36</v>
      </c>
      <c r="H67" s="76">
        <v>44.67</v>
      </c>
      <c r="I67" s="77" t="s">
        <v>37</v>
      </c>
      <c r="J67" s="41">
        <f>H67/10</f>
        <v>4.4670000000000005</v>
      </c>
      <c r="K67" s="14" t="s">
        <v>17</v>
      </c>
      <c r="L67" s="78">
        <f t="shared" si="3"/>
        <v>0.27918750000000003</v>
      </c>
    </row>
    <row r="68" spans="1:16" x14ac:dyDescent="0.35">
      <c r="A68" s="85">
        <v>44562</v>
      </c>
      <c r="B68" s="6" t="s">
        <v>125</v>
      </c>
      <c r="C68" s="33" t="s">
        <v>205</v>
      </c>
      <c r="D68" s="62" t="s">
        <v>489</v>
      </c>
      <c r="E68" s="62" t="s">
        <v>490</v>
      </c>
      <c r="F68" s="74" t="s">
        <v>243</v>
      </c>
      <c r="G68" s="75" t="s">
        <v>396</v>
      </c>
      <c r="H68" s="76">
        <v>16.77</v>
      </c>
      <c r="I68" s="77" t="s">
        <v>37</v>
      </c>
      <c r="J68" s="41">
        <f>H68/2</f>
        <v>8.3849999999999998</v>
      </c>
      <c r="K68" s="14" t="s">
        <v>17</v>
      </c>
      <c r="L68" s="78">
        <f t="shared" si="3"/>
        <v>0.52406249999999999</v>
      </c>
      <c r="M68" s="79" t="s">
        <v>450</v>
      </c>
      <c r="N68" s="80">
        <f>16/28</f>
        <v>0.5714285714285714</v>
      </c>
      <c r="O68" s="72" t="s">
        <v>17</v>
      </c>
      <c r="P68" s="96">
        <f>N68*L68</f>
        <v>0.29946428571428568</v>
      </c>
    </row>
    <row r="69" spans="1:16" x14ac:dyDescent="0.35">
      <c r="A69" s="85">
        <v>44562</v>
      </c>
      <c r="B69" s="6" t="s">
        <v>125</v>
      </c>
      <c r="C69" s="33" t="s">
        <v>205</v>
      </c>
      <c r="D69" s="62" t="s">
        <v>489</v>
      </c>
      <c r="E69" s="62" t="s">
        <v>490</v>
      </c>
      <c r="F69" s="74" t="s">
        <v>89</v>
      </c>
      <c r="G69" s="75" t="s">
        <v>36</v>
      </c>
      <c r="H69" s="76">
        <v>46</v>
      </c>
      <c r="I69" s="77" t="s">
        <v>37</v>
      </c>
      <c r="J69" s="41">
        <f>H69/10</f>
        <v>4.5999999999999996</v>
      </c>
      <c r="K69" s="14" t="s">
        <v>17</v>
      </c>
      <c r="L69" s="78">
        <f t="shared" si="3"/>
        <v>0.28749999999999998</v>
      </c>
    </row>
    <row r="70" spans="1:16" x14ac:dyDescent="0.35">
      <c r="A70" s="85">
        <v>44562</v>
      </c>
      <c r="B70" s="6" t="s">
        <v>125</v>
      </c>
      <c r="C70" s="33" t="s">
        <v>205</v>
      </c>
      <c r="D70" s="62" t="s">
        <v>489</v>
      </c>
      <c r="E70" s="62" t="s">
        <v>490</v>
      </c>
      <c r="F70" s="74" t="s">
        <v>96</v>
      </c>
      <c r="G70" s="75" t="s">
        <v>36</v>
      </c>
      <c r="H70" s="76">
        <v>52</v>
      </c>
      <c r="I70" s="77" t="s">
        <v>37</v>
      </c>
      <c r="J70" s="41">
        <f>H70/10</f>
        <v>5.2</v>
      </c>
      <c r="K70" s="14" t="s">
        <v>17</v>
      </c>
      <c r="L70" s="78">
        <f t="shared" si="3"/>
        <v>0.32500000000000001</v>
      </c>
      <c r="M70" s="79" t="s">
        <v>412</v>
      </c>
      <c r="N70" s="80">
        <v>5</v>
      </c>
      <c r="O70" s="72" t="s">
        <v>17</v>
      </c>
      <c r="P70" s="96">
        <f>N70*L70</f>
        <v>1.625</v>
      </c>
    </row>
    <row r="71" spans="1:16" x14ac:dyDescent="0.35">
      <c r="A71" s="85">
        <v>44562</v>
      </c>
      <c r="B71" s="6" t="s">
        <v>125</v>
      </c>
      <c r="C71" s="33" t="s">
        <v>124</v>
      </c>
      <c r="D71" s="62" t="s">
        <v>489</v>
      </c>
      <c r="E71" s="62" t="s">
        <v>490</v>
      </c>
      <c r="F71" s="74" t="s">
        <v>235</v>
      </c>
      <c r="G71" s="75" t="s">
        <v>36</v>
      </c>
      <c r="H71" s="76">
        <v>65</v>
      </c>
      <c r="I71" s="77" t="s">
        <v>37</v>
      </c>
      <c r="J71" s="41">
        <v>3.13</v>
      </c>
      <c r="K71" s="14" t="s">
        <v>17</v>
      </c>
      <c r="L71" s="78">
        <f t="shared" si="3"/>
        <v>0.19562499999999999</v>
      </c>
      <c r="M71" s="79" t="s">
        <v>400</v>
      </c>
      <c r="N71" s="80">
        <v>0.875</v>
      </c>
      <c r="O71" s="72" t="s">
        <v>17</v>
      </c>
      <c r="P71" s="96">
        <f>L71*N71</f>
        <v>0.171171875</v>
      </c>
    </row>
    <row r="72" spans="1:16" x14ac:dyDescent="0.35">
      <c r="A72" s="85">
        <v>44562</v>
      </c>
      <c r="B72" s="6" t="s">
        <v>281</v>
      </c>
      <c r="C72" s="33" t="s">
        <v>394</v>
      </c>
      <c r="D72" s="62" t="s">
        <v>489</v>
      </c>
      <c r="E72" s="62" t="s">
        <v>490</v>
      </c>
      <c r="F72" s="74" t="s">
        <v>282</v>
      </c>
      <c r="G72" s="75" t="s">
        <v>418</v>
      </c>
      <c r="H72" s="76">
        <v>1.99</v>
      </c>
      <c r="I72" s="77" t="s">
        <v>17</v>
      </c>
      <c r="J72" s="41">
        <f>H72/24</f>
        <v>8.2916666666666666E-2</v>
      </c>
    </row>
    <row r="73" spans="1:16" x14ac:dyDescent="0.35">
      <c r="A73" s="85">
        <v>44562</v>
      </c>
      <c r="B73" s="109" t="s">
        <v>281</v>
      </c>
      <c r="C73" s="108" t="s">
        <v>395</v>
      </c>
      <c r="D73" s="62" t="s">
        <v>489</v>
      </c>
      <c r="E73" s="62" t="s">
        <v>490</v>
      </c>
      <c r="F73" s="74" t="s">
        <v>62</v>
      </c>
      <c r="G73" s="75" t="s">
        <v>396</v>
      </c>
      <c r="H73" s="76">
        <v>10.58</v>
      </c>
      <c r="I73" s="77" t="s">
        <v>17</v>
      </c>
      <c r="J73" s="41">
        <f>H73/72</f>
        <v>0.14694444444444443</v>
      </c>
    </row>
    <row r="74" spans="1:16" x14ac:dyDescent="0.35">
      <c r="A74" s="85">
        <v>44562</v>
      </c>
      <c r="B74" s="6" t="s">
        <v>281</v>
      </c>
      <c r="C74" s="33" t="s">
        <v>395</v>
      </c>
      <c r="D74" s="62" t="s">
        <v>489</v>
      </c>
      <c r="E74" s="62" t="s">
        <v>490</v>
      </c>
      <c r="F74" s="74" t="s">
        <v>65</v>
      </c>
      <c r="G74" s="75" t="s">
        <v>449</v>
      </c>
      <c r="H74" s="76">
        <v>2.4900000000000002</v>
      </c>
      <c r="I74" s="77" t="s">
        <v>416</v>
      </c>
      <c r="J74" s="41">
        <f>H74/24</f>
        <v>0.10375000000000001</v>
      </c>
    </row>
    <row r="75" spans="1:16" x14ac:dyDescent="0.35">
      <c r="A75" s="85">
        <v>44562</v>
      </c>
      <c r="B75" s="6" t="s">
        <v>281</v>
      </c>
      <c r="C75" s="33" t="s">
        <v>205</v>
      </c>
      <c r="D75" s="62" t="s">
        <v>489</v>
      </c>
      <c r="E75" s="62" t="s">
        <v>490</v>
      </c>
      <c r="F75" s="74" t="s">
        <v>429</v>
      </c>
      <c r="G75" s="75" t="s">
        <v>36</v>
      </c>
      <c r="H75" s="76">
        <v>12.96</v>
      </c>
      <c r="I75" s="77" t="s">
        <v>37</v>
      </c>
      <c r="J75" s="41">
        <f>H75/4</f>
        <v>3.24</v>
      </c>
    </row>
    <row r="76" spans="1:16" x14ac:dyDescent="0.35">
      <c r="A76" s="85">
        <v>44562</v>
      </c>
      <c r="B76" s="100" t="s">
        <v>281</v>
      </c>
      <c r="C76" s="99" t="s">
        <v>124</v>
      </c>
      <c r="D76" s="62" t="s">
        <v>489</v>
      </c>
      <c r="E76" s="62" t="s">
        <v>490</v>
      </c>
      <c r="F76" s="74" t="s">
        <v>439</v>
      </c>
      <c r="G76" s="75" t="s">
        <v>36</v>
      </c>
      <c r="H76" s="76">
        <v>67.540000000000006</v>
      </c>
      <c r="I76" s="77" t="s">
        <v>440</v>
      </c>
      <c r="J76" s="41">
        <f>H76/20</f>
        <v>3.3770000000000002</v>
      </c>
      <c r="K76" s="14" t="s">
        <v>17</v>
      </c>
      <c r="L76" s="78">
        <f>J76/20</f>
        <v>0.16885</v>
      </c>
    </row>
    <row r="77" spans="1:16" x14ac:dyDescent="0.35">
      <c r="A77" s="85">
        <v>44562</v>
      </c>
      <c r="B77" s="6" t="s">
        <v>281</v>
      </c>
      <c r="C77" s="33" t="s">
        <v>124</v>
      </c>
      <c r="D77" s="62" t="s">
        <v>489</v>
      </c>
      <c r="E77" s="62" t="s">
        <v>490</v>
      </c>
      <c r="F77" s="74" t="s">
        <v>303</v>
      </c>
      <c r="G77" s="75" t="s">
        <v>298</v>
      </c>
      <c r="H77" s="76">
        <v>4.9790999999999999</v>
      </c>
      <c r="I77" s="77" t="s">
        <v>37</v>
      </c>
      <c r="J77" s="41">
        <f>H77/2</f>
        <v>2.4895499999999999</v>
      </c>
      <c r="K77" s="14" t="s">
        <v>17</v>
      </c>
      <c r="L77" s="78">
        <f>J77/16</f>
        <v>0.155596875</v>
      </c>
    </row>
    <row r="78" spans="1:16" x14ac:dyDescent="0.35">
      <c r="A78" s="85">
        <v>44562</v>
      </c>
      <c r="B78" s="82" t="s">
        <v>283</v>
      </c>
      <c r="C78" s="81" t="s">
        <v>395</v>
      </c>
      <c r="D78" s="62" t="s">
        <v>489</v>
      </c>
      <c r="E78" s="62" t="s">
        <v>490</v>
      </c>
      <c r="F78" s="74" t="s">
        <v>284</v>
      </c>
      <c r="G78" s="75" t="s">
        <v>73</v>
      </c>
      <c r="H78" s="76">
        <v>25.99</v>
      </c>
      <c r="I78" s="77" t="s">
        <v>320</v>
      </c>
      <c r="J78" s="41">
        <f>H78/35</f>
        <v>0.74257142857142855</v>
      </c>
      <c r="K78" s="14" t="s">
        <v>17</v>
      </c>
      <c r="L78" s="78">
        <f>J78/128</f>
        <v>5.8013392857142855E-3</v>
      </c>
    </row>
    <row r="79" spans="1:16" x14ac:dyDescent="0.35">
      <c r="A79" s="85">
        <v>44562</v>
      </c>
      <c r="B79" s="82" t="s">
        <v>283</v>
      </c>
      <c r="C79" s="81" t="s">
        <v>395</v>
      </c>
      <c r="D79" s="62" t="s">
        <v>489</v>
      </c>
      <c r="E79" s="62" t="s">
        <v>490</v>
      </c>
      <c r="F79" s="74" t="s">
        <v>118</v>
      </c>
      <c r="G79" s="75" t="s">
        <v>73</v>
      </c>
      <c r="H79" s="76">
        <v>44.99</v>
      </c>
      <c r="I79" s="77" t="s">
        <v>436</v>
      </c>
      <c r="J79" s="41">
        <f>H79/10</f>
        <v>4.4990000000000006</v>
      </c>
      <c r="K79" s="14" t="s">
        <v>416</v>
      </c>
      <c r="L79" s="78">
        <f>J79/33.814</f>
        <v>0.13305139882888745</v>
      </c>
    </row>
    <row r="80" spans="1:16" x14ac:dyDescent="0.35">
      <c r="A80" s="85">
        <v>44562</v>
      </c>
      <c r="B80" s="6" t="s">
        <v>283</v>
      </c>
      <c r="C80" s="33" t="s">
        <v>395</v>
      </c>
      <c r="D80" s="62" t="s">
        <v>489</v>
      </c>
      <c r="E80" s="62" t="s">
        <v>490</v>
      </c>
      <c r="F80" s="74" t="s">
        <v>285</v>
      </c>
      <c r="G80" s="75" t="s">
        <v>36</v>
      </c>
      <c r="H80" s="76">
        <v>9.5</v>
      </c>
      <c r="I80" s="77" t="s">
        <v>320</v>
      </c>
      <c r="J80" s="41">
        <f>H80/4</f>
        <v>2.375</v>
      </c>
      <c r="K80" s="14" t="s">
        <v>416</v>
      </c>
      <c r="L80" s="78">
        <f>J80/128</f>
        <v>1.85546875E-2</v>
      </c>
    </row>
    <row r="81" spans="1:16" x14ac:dyDescent="0.35">
      <c r="A81" s="85">
        <v>44562</v>
      </c>
      <c r="B81" s="6" t="s">
        <v>283</v>
      </c>
      <c r="C81" s="33" t="s">
        <v>395</v>
      </c>
      <c r="D81" s="62" t="s">
        <v>489</v>
      </c>
      <c r="E81" s="62" t="s">
        <v>490</v>
      </c>
      <c r="F81" s="74" t="s">
        <v>463</v>
      </c>
      <c r="G81" s="75" t="s">
        <v>73</v>
      </c>
      <c r="H81" s="76">
        <v>51.8</v>
      </c>
      <c r="I81" s="77" t="s">
        <v>436</v>
      </c>
      <c r="J81" s="41">
        <f>H81/10</f>
        <v>5.18</v>
      </c>
      <c r="K81" s="14" t="s">
        <v>416</v>
      </c>
      <c r="L81" s="78">
        <f>J81/33.814</f>
        <v>0.15319098598213757</v>
      </c>
    </row>
    <row r="82" spans="1:16" x14ac:dyDescent="0.35">
      <c r="A82" s="85">
        <v>44562</v>
      </c>
      <c r="B82" s="6" t="s">
        <v>283</v>
      </c>
      <c r="C82" s="33" t="s">
        <v>394</v>
      </c>
      <c r="D82" s="62" t="s">
        <v>489</v>
      </c>
      <c r="E82" s="62" t="s">
        <v>490</v>
      </c>
      <c r="F82" s="74" t="s">
        <v>286</v>
      </c>
      <c r="G82" s="75" t="s">
        <v>36</v>
      </c>
      <c r="H82" s="76">
        <v>9.75</v>
      </c>
      <c r="I82" s="77" t="s">
        <v>320</v>
      </c>
      <c r="J82" s="41">
        <f>H82/4</f>
        <v>2.4375</v>
      </c>
      <c r="K82" s="14" t="s">
        <v>416</v>
      </c>
      <c r="L82" s="78">
        <f>J82/128</f>
        <v>1.904296875E-2</v>
      </c>
    </row>
    <row r="83" spans="1:16" x14ac:dyDescent="0.35">
      <c r="A83" s="85">
        <v>44562</v>
      </c>
      <c r="B83" s="6" t="s">
        <v>126</v>
      </c>
      <c r="C83" s="33" t="s">
        <v>124</v>
      </c>
      <c r="D83" s="62" t="s">
        <v>489</v>
      </c>
      <c r="E83" s="62" t="s">
        <v>490</v>
      </c>
      <c r="F83" s="74" t="s">
        <v>107</v>
      </c>
      <c r="G83" s="75" t="s">
        <v>396</v>
      </c>
      <c r="H83" s="76">
        <v>9.07</v>
      </c>
      <c r="I83" s="77" t="s">
        <v>37</v>
      </c>
      <c r="J83" s="41">
        <f>H83/5</f>
        <v>1.8140000000000001</v>
      </c>
      <c r="K83" s="14" t="s">
        <v>17</v>
      </c>
      <c r="L83" s="78">
        <f>J83/16</f>
        <v>0.113375</v>
      </c>
      <c r="P83" s="96"/>
    </row>
    <row r="84" spans="1:16" x14ac:dyDescent="0.35">
      <c r="A84" s="85">
        <v>44562</v>
      </c>
      <c r="B84" s="6" t="s">
        <v>126</v>
      </c>
      <c r="C84" s="33" t="s">
        <v>124</v>
      </c>
      <c r="D84" s="62" t="s">
        <v>489</v>
      </c>
      <c r="E84" s="62" t="s">
        <v>490</v>
      </c>
      <c r="F84" s="74" t="s">
        <v>234</v>
      </c>
      <c r="G84" s="75" t="s">
        <v>396</v>
      </c>
      <c r="H84" s="76">
        <v>4.5599999999999996</v>
      </c>
      <c r="I84" s="77" t="s">
        <v>292</v>
      </c>
      <c r="J84" s="41">
        <f>H84/10</f>
        <v>0.45599999999999996</v>
      </c>
      <c r="K84" s="14" t="s">
        <v>17</v>
      </c>
      <c r="L84" s="78">
        <f>J84/N84</f>
        <v>5.0666666666666665E-2</v>
      </c>
      <c r="M84" s="79" t="s">
        <v>474</v>
      </c>
      <c r="N84" s="80">
        <v>9</v>
      </c>
      <c r="O84" s="72" t="s">
        <v>17</v>
      </c>
      <c r="P84" s="96"/>
    </row>
    <row r="85" spans="1:16" x14ac:dyDescent="0.35">
      <c r="A85" s="85">
        <v>44562</v>
      </c>
      <c r="B85" s="82" t="s">
        <v>126</v>
      </c>
      <c r="C85" s="33" t="s">
        <v>124</v>
      </c>
      <c r="D85" s="62" t="s">
        <v>489</v>
      </c>
      <c r="E85" s="62" t="s">
        <v>490</v>
      </c>
      <c r="F85" s="74" t="s">
        <v>91</v>
      </c>
      <c r="G85" s="75" t="s">
        <v>396</v>
      </c>
      <c r="H85" s="76">
        <v>9.1</v>
      </c>
      <c r="I85" s="77" t="s">
        <v>37</v>
      </c>
      <c r="J85" s="41">
        <f>H85/5</f>
        <v>1.8199999999999998</v>
      </c>
      <c r="K85" s="14" t="s">
        <v>17</v>
      </c>
      <c r="L85" s="78">
        <f>J85/16</f>
        <v>0.11374999999999999</v>
      </c>
      <c r="M85" s="79" t="s">
        <v>430</v>
      </c>
      <c r="O85" s="72" t="s">
        <v>17</v>
      </c>
      <c r="P85" s="96">
        <f>N85*L85</f>
        <v>0</v>
      </c>
    </row>
    <row r="86" spans="1:16" x14ac:dyDescent="0.35">
      <c r="A86" s="85">
        <v>44562</v>
      </c>
      <c r="B86" s="82" t="s">
        <v>126</v>
      </c>
      <c r="C86" s="33" t="s">
        <v>124</v>
      </c>
      <c r="D86" s="62" t="s">
        <v>489</v>
      </c>
      <c r="E86" s="62" t="s">
        <v>490</v>
      </c>
      <c r="F86" s="74" t="s">
        <v>233</v>
      </c>
      <c r="G86" s="75" t="s">
        <v>36</v>
      </c>
      <c r="H86" s="76">
        <v>25.75</v>
      </c>
      <c r="I86" s="77" t="s">
        <v>292</v>
      </c>
      <c r="J86" s="41">
        <f>H86/24</f>
        <v>1.0729166666666667</v>
      </c>
      <c r="K86" s="14" t="s">
        <v>17</v>
      </c>
      <c r="L86" s="78">
        <f>J86/N86</f>
        <v>9.7537878787878798E-2</v>
      </c>
      <c r="M86" s="79" t="s">
        <v>411</v>
      </c>
      <c r="N86" s="80">
        <v>11</v>
      </c>
      <c r="O86" s="72" t="s">
        <v>17</v>
      </c>
    </row>
    <row r="87" spans="1:16" x14ac:dyDescent="0.35">
      <c r="A87" s="85">
        <v>44562</v>
      </c>
      <c r="B87" s="100" t="s">
        <v>126</v>
      </c>
      <c r="C87" s="99" t="s">
        <v>124</v>
      </c>
      <c r="D87" s="62" t="s">
        <v>489</v>
      </c>
      <c r="E87" s="62" t="s">
        <v>490</v>
      </c>
      <c r="F87" s="74" t="s">
        <v>437</v>
      </c>
      <c r="G87" s="75" t="s">
        <v>396</v>
      </c>
      <c r="H87" s="76">
        <v>4.9400000000000004</v>
      </c>
      <c r="I87" s="77" t="s">
        <v>37</v>
      </c>
      <c r="J87" s="41">
        <f>H87/5</f>
        <v>0.9880000000000001</v>
      </c>
      <c r="K87" s="14" t="s">
        <v>17</v>
      </c>
      <c r="L87" s="78">
        <f>J87/16</f>
        <v>6.1750000000000006E-2</v>
      </c>
      <c r="M87" s="79" t="s">
        <v>438</v>
      </c>
      <c r="N87" s="80">
        <v>8</v>
      </c>
      <c r="O87" s="72" t="s">
        <v>17</v>
      </c>
      <c r="P87" s="96">
        <f>N87*L87</f>
        <v>0.49400000000000005</v>
      </c>
    </row>
    <row r="88" spans="1:16" x14ac:dyDescent="0.35">
      <c r="A88" s="85">
        <v>44562</v>
      </c>
      <c r="B88" s="82" t="s">
        <v>126</v>
      </c>
      <c r="C88" s="33" t="s">
        <v>124</v>
      </c>
      <c r="D88" s="62" t="s">
        <v>489</v>
      </c>
      <c r="E88" s="62" t="s">
        <v>490</v>
      </c>
      <c r="F88" s="74" t="s">
        <v>92</v>
      </c>
      <c r="G88" s="75" t="s">
        <v>396</v>
      </c>
      <c r="H88" s="76">
        <v>22</v>
      </c>
      <c r="I88" s="77" t="s">
        <v>37</v>
      </c>
      <c r="J88" s="41">
        <f>H88/50</f>
        <v>0.44</v>
      </c>
      <c r="K88" s="14" t="s">
        <v>17</v>
      </c>
      <c r="L88" s="78">
        <f>J88/16</f>
        <v>2.75E-2</v>
      </c>
      <c r="M88" s="79" t="s">
        <v>397</v>
      </c>
      <c r="N88" s="80">
        <v>9</v>
      </c>
      <c r="O88" s="72" t="s">
        <v>17</v>
      </c>
      <c r="P88" s="96">
        <f>N88*L88</f>
        <v>0.2475</v>
      </c>
    </row>
    <row r="89" spans="1:16" x14ac:dyDescent="0.35">
      <c r="A89" s="85">
        <v>44562</v>
      </c>
      <c r="B89" s="82" t="s">
        <v>126</v>
      </c>
      <c r="C89" s="33" t="s">
        <v>124</v>
      </c>
      <c r="D89" s="62" t="s">
        <v>489</v>
      </c>
      <c r="E89" s="62" t="s">
        <v>490</v>
      </c>
      <c r="F89" s="74" t="s">
        <v>146</v>
      </c>
      <c r="G89" s="75" t="s">
        <v>396</v>
      </c>
      <c r="H89" s="76">
        <v>2.79</v>
      </c>
      <c r="I89" s="77" t="s">
        <v>37</v>
      </c>
      <c r="J89" s="41">
        <f>H89/2</f>
        <v>1.395</v>
      </c>
      <c r="K89" s="14" t="s">
        <v>17</v>
      </c>
      <c r="L89" s="78">
        <f>J89/16</f>
        <v>8.7187500000000001E-2</v>
      </c>
      <c r="P89" s="96">
        <f>N89*L89</f>
        <v>0</v>
      </c>
    </row>
    <row r="90" spans="1:16" x14ac:dyDescent="0.35">
      <c r="A90" s="85">
        <v>44562</v>
      </c>
      <c r="B90" s="82" t="s">
        <v>126</v>
      </c>
      <c r="C90" s="33" t="s">
        <v>124</v>
      </c>
      <c r="D90" s="62" t="s">
        <v>489</v>
      </c>
      <c r="E90" s="62" t="s">
        <v>490</v>
      </c>
      <c r="F90" s="74" t="s">
        <v>145</v>
      </c>
      <c r="G90" s="75" t="s">
        <v>36</v>
      </c>
      <c r="H90" s="76">
        <v>24</v>
      </c>
      <c r="I90" s="77" t="s">
        <v>37</v>
      </c>
      <c r="J90" s="41">
        <f>H90/25</f>
        <v>0.96</v>
      </c>
      <c r="K90" s="14" t="s">
        <v>17</v>
      </c>
      <c r="L90" s="78">
        <f>J90/16</f>
        <v>0.06</v>
      </c>
      <c r="M90" s="79" t="s">
        <v>188</v>
      </c>
      <c r="O90" s="72" t="s">
        <v>17</v>
      </c>
      <c r="P90" s="96">
        <f>N90*L90</f>
        <v>0</v>
      </c>
    </row>
    <row r="91" spans="1:16" x14ac:dyDescent="0.35">
      <c r="A91" s="85">
        <v>44562</v>
      </c>
      <c r="B91" s="82" t="s">
        <v>126</v>
      </c>
      <c r="C91" s="33" t="s">
        <v>124</v>
      </c>
      <c r="D91" s="62" t="s">
        <v>489</v>
      </c>
      <c r="E91" s="62" t="s">
        <v>490</v>
      </c>
      <c r="F91" s="74" t="s">
        <v>232</v>
      </c>
      <c r="G91" s="75" t="s">
        <v>36</v>
      </c>
      <c r="H91" s="76">
        <v>26.25</v>
      </c>
      <c r="I91" s="77" t="s">
        <v>292</v>
      </c>
      <c r="J91" s="41">
        <v>1</v>
      </c>
      <c r="K91" s="14" t="s">
        <v>17</v>
      </c>
      <c r="L91" s="78">
        <f>J91/N91</f>
        <v>7.2727272727272724E-2</v>
      </c>
      <c r="M91" s="79" t="s">
        <v>411</v>
      </c>
      <c r="N91" s="80">
        <v>13.75</v>
      </c>
      <c r="O91" s="72" t="s">
        <v>17</v>
      </c>
    </row>
    <row r="92" spans="1:16" x14ac:dyDescent="0.35">
      <c r="A92" s="85">
        <v>44562</v>
      </c>
      <c r="B92" s="82" t="s">
        <v>126</v>
      </c>
      <c r="C92" s="33" t="s">
        <v>124</v>
      </c>
      <c r="D92" s="62" t="s">
        <v>489</v>
      </c>
      <c r="E92" s="62" t="s">
        <v>490</v>
      </c>
      <c r="F92" s="74" t="s">
        <v>154</v>
      </c>
      <c r="G92" s="75" t="s">
        <v>36</v>
      </c>
      <c r="H92" s="76">
        <v>40</v>
      </c>
      <c r="I92" s="77" t="s">
        <v>37</v>
      </c>
      <c r="J92" s="41">
        <f>H92/25</f>
        <v>1.6</v>
      </c>
      <c r="K92" s="14" t="s">
        <v>17</v>
      </c>
      <c r="L92" s="78">
        <f>J92/16</f>
        <v>0.1</v>
      </c>
      <c r="M92" s="79" t="s">
        <v>188</v>
      </c>
      <c r="O92" s="72" t="s">
        <v>17</v>
      </c>
      <c r="P92" s="96">
        <f>N92*L92</f>
        <v>0</v>
      </c>
    </row>
    <row r="93" spans="1:16" x14ac:dyDescent="0.35">
      <c r="A93" s="85">
        <v>44562</v>
      </c>
      <c r="B93" s="82" t="s">
        <v>272</v>
      </c>
      <c r="C93" s="33" t="s">
        <v>395</v>
      </c>
      <c r="D93" s="62" t="s">
        <v>489</v>
      </c>
      <c r="E93" s="62" t="s">
        <v>490</v>
      </c>
      <c r="F93" s="74" t="s">
        <v>54</v>
      </c>
      <c r="G93" s="75" t="s">
        <v>36</v>
      </c>
      <c r="H93" s="76">
        <v>28.99</v>
      </c>
      <c r="I93" s="77" t="s">
        <v>320</v>
      </c>
      <c r="J93" s="41">
        <f>H93/4</f>
        <v>7.2474999999999996</v>
      </c>
      <c r="K93" s="14" t="s">
        <v>416</v>
      </c>
      <c r="L93" s="78">
        <f>J93/128</f>
        <v>5.6621093749999997E-2</v>
      </c>
    </row>
    <row r="94" spans="1:16" x14ac:dyDescent="0.35">
      <c r="A94" s="85">
        <v>44562</v>
      </c>
      <c r="B94" s="82" t="s">
        <v>272</v>
      </c>
      <c r="C94" s="33" t="s">
        <v>124</v>
      </c>
      <c r="D94" s="62" t="s">
        <v>489</v>
      </c>
      <c r="E94" s="62" t="s">
        <v>490</v>
      </c>
      <c r="F94" s="74" t="s">
        <v>273</v>
      </c>
      <c r="G94" s="75" t="s">
        <v>320</v>
      </c>
      <c r="H94" s="76">
        <v>19.98</v>
      </c>
      <c r="I94" s="77" t="s">
        <v>416</v>
      </c>
      <c r="J94" s="41">
        <f>H94/128</f>
        <v>0.15609375</v>
      </c>
    </row>
    <row r="95" spans="1:16" x14ac:dyDescent="0.35">
      <c r="A95" s="85">
        <v>44562</v>
      </c>
      <c r="B95" s="82" t="s">
        <v>272</v>
      </c>
      <c r="C95" s="33" t="s">
        <v>395</v>
      </c>
      <c r="D95" s="62" t="s">
        <v>489</v>
      </c>
      <c r="E95" s="62" t="s">
        <v>490</v>
      </c>
      <c r="F95" s="74" t="s">
        <v>48</v>
      </c>
      <c r="G95" s="75" t="s">
        <v>36</v>
      </c>
      <c r="H95" s="76">
        <v>52.49</v>
      </c>
      <c r="I95" s="77" t="s">
        <v>320</v>
      </c>
      <c r="J95" s="41">
        <f>H95/4</f>
        <v>13.1225</v>
      </c>
      <c r="K95" s="14" t="s">
        <v>416</v>
      </c>
      <c r="L95" s="78">
        <f>J95/128</f>
        <v>0.10251953125</v>
      </c>
    </row>
    <row r="96" spans="1:16" x14ac:dyDescent="0.35">
      <c r="A96" s="85">
        <v>44562</v>
      </c>
      <c r="B96" s="82" t="s">
        <v>272</v>
      </c>
      <c r="D96" s="62" t="s">
        <v>489</v>
      </c>
      <c r="E96" s="62" t="s">
        <v>490</v>
      </c>
      <c r="F96" s="74" t="s">
        <v>279</v>
      </c>
    </row>
    <row r="97" spans="1:16" x14ac:dyDescent="0.35">
      <c r="A97" s="85">
        <v>44562</v>
      </c>
      <c r="B97" s="82" t="s">
        <v>272</v>
      </c>
      <c r="C97" s="33" t="s">
        <v>395</v>
      </c>
      <c r="D97" s="62" t="s">
        <v>489</v>
      </c>
      <c r="E97" s="62" t="s">
        <v>490</v>
      </c>
      <c r="F97" s="74" t="s">
        <v>280</v>
      </c>
      <c r="G97" s="75" t="s">
        <v>36</v>
      </c>
      <c r="H97" s="76">
        <v>23.2</v>
      </c>
      <c r="I97" s="77" t="s">
        <v>393</v>
      </c>
      <c r="J97" s="41">
        <f>H97/1000</f>
        <v>2.3199999999999998E-2</v>
      </c>
    </row>
    <row r="98" spans="1:16" x14ac:dyDescent="0.35">
      <c r="A98" s="85">
        <v>44562</v>
      </c>
      <c r="B98" s="82" t="s">
        <v>272</v>
      </c>
      <c r="C98" s="33" t="s">
        <v>395</v>
      </c>
      <c r="D98" s="62" t="s">
        <v>489</v>
      </c>
      <c r="E98" s="62" t="s">
        <v>490</v>
      </c>
      <c r="F98" s="74" t="s">
        <v>53</v>
      </c>
      <c r="G98" s="75" t="s">
        <v>36</v>
      </c>
      <c r="H98" s="76">
        <v>53.49</v>
      </c>
      <c r="I98" s="77" t="s">
        <v>320</v>
      </c>
      <c r="J98" s="41">
        <f>H98/4</f>
        <v>13.3725</v>
      </c>
      <c r="K98" s="14" t="s">
        <v>416</v>
      </c>
      <c r="L98" s="78">
        <f>J98/128</f>
        <v>0.10447265625</v>
      </c>
    </row>
    <row r="99" spans="1:16" x14ac:dyDescent="0.35">
      <c r="A99" s="85">
        <v>44562</v>
      </c>
      <c r="B99" s="104" t="s">
        <v>253</v>
      </c>
      <c r="C99" s="103" t="s">
        <v>124</v>
      </c>
      <c r="D99" s="62" t="s">
        <v>489</v>
      </c>
      <c r="E99" s="62" t="s">
        <v>490</v>
      </c>
      <c r="F99" s="74" t="s">
        <v>465</v>
      </c>
      <c r="G99" s="75" t="s">
        <v>73</v>
      </c>
      <c r="H99" s="76">
        <v>2.59</v>
      </c>
      <c r="I99" s="77" t="s">
        <v>17</v>
      </c>
      <c r="J99" s="41">
        <f>H99/2</f>
        <v>1.2949999999999999</v>
      </c>
    </row>
    <row r="100" spans="1:16" x14ac:dyDescent="0.35">
      <c r="A100" s="85">
        <v>44562</v>
      </c>
      <c r="B100" s="82" t="s">
        <v>253</v>
      </c>
      <c r="C100" s="33" t="s">
        <v>394</v>
      </c>
      <c r="D100" s="62" t="s">
        <v>489</v>
      </c>
      <c r="E100" s="62" t="s">
        <v>490</v>
      </c>
      <c r="F100" s="74" t="s">
        <v>262</v>
      </c>
      <c r="G100" s="75" t="s">
        <v>418</v>
      </c>
      <c r="H100" s="76">
        <v>39.31</v>
      </c>
      <c r="I100" s="77" t="s">
        <v>37</v>
      </c>
      <c r="J100" s="41">
        <f>H100/10</f>
        <v>3.931</v>
      </c>
      <c r="K100" s="14" t="s">
        <v>209</v>
      </c>
      <c r="L100" s="78">
        <f>H100/23.62</f>
        <v>1.6642675698560543</v>
      </c>
    </row>
    <row r="101" spans="1:16" x14ac:dyDescent="0.35">
      <c r="A101" s="85">
        <v>44562</v>
      </c>
      <c r="B101" s="82" t="s">
        <v>253</v>
      </c>
      <c r="C101" s="33" t="s">
        <v>394</v>
      </c>
      <c r="D101" s="62" t="s">
        <v>489</v>
      </c>
      <c r="E101" s="62" t="s">
        <v>490</v>
      </c>
      <c r="F101" s="74" t="s">
        <v>261</v>
      </c>
      <c r="G101" s="75" t="s">
        <v>73</v>
      </c>
      <c r="H101" s="76">
        <v>1.29</v>
      </c>
      <c r="I101" s="77" t="s">
        <v>393</v>
      </c>
      <c r="J101" s="41">
        <f>H101/8</f>
        <v>0.16125</v>
      </c>
      <c r="K101" s="14" t="s">
        <v>17</v>
      </c>
      <c r="L101" s="78">
        <f>H101/2.82</f>
        <v>0.45744680851063835</v>
      </c>
    </row>
    <row r="102" spans="1:16" x14ac:dyDescent="0.35">
      <c r="A102" s="85">
        <v>44562</v>
      </c>
      <c r="B102" s="6" t="s">
        <v>253</v>
      </c>
      <c r="C102" s="33" t="s">
        <v>394</v>
      </c>
      <c r="D102" s="62" t="s">
        <v>489</v>
      </c>
      <c r="E102" s="62" t="s">
        <v>490</v>
      </c>
      <c r="F102" s="74" t="s">
        <v>215</v>
      </c>
      <c r="G102" s="75" t="s">
        <v>418</v>
      </c>
      <c r="H102" s="76">
        <v>18.850000000000001</v>
      </c>
      <c r="I102" s="77" t="s">
        <v>37</v>
      </c>
      <c r="J102" s="41">
        <f>H102/5</f>
        <v>3.7700000000000005</v>
      </c>
      <c r="K102" s="14" t="s">
        <v>17</v>
      </c>
      <c r="L102" s="78">
        <f>J102/16</f>
        <v>0.23562500000000003</v>
      </c>
      <c r="M102" s="79" t="s">
        <v>471</v>
      </c>
      <c r="N102" s="80">
        <v>3.89</v>
      </c>
      <c r="P102" s="96">
        <f t="shared" ref="P102:P118" si="4">N102*L102</f>
        <v>0.91658125000000013</v>
      </c>
    </row>
    <row r="103" spans="1:16" x14ac:dyDescent="0.35">
      <c r="A103" s="85">
        <v>44562</v>
      </c>
      <c r="B103" s="112" t="s">
        <v>253</v>
      </c>
      <c r="C103" s="111" t="s">
        <v>395</v>
      </c>
      <c r="D103" s="62" t="s">
        <v>489</v>
      </c>
      <c r="E103" s="62" t="s">
        <v>490</v>
      </c>
      <c r="F103" s="74" t="s">
        <v>473</v>
      </c>
      <c r="G103" s="75" t="s">
        <v>396</v>
      </c>
      <c r="H103" s="76">
        <v>1.49</v>
      </c>
      <c r="I103" s="77" t="s">
        <v>17</v>
      </c>
      <c r="J103" s="41">
        <f>H103/32</f>
        <v>4.65625E-2</v>
      </c>
      <c r="P103" s="96"/>
    </row>
    <row r="104" spans="1:16" x14ac:dyDescent="0.35">
      <c r="A104" s="85">
        <v>44562</v>
      </c>
      <c r="B104" s="6" t="s">
        <v>253</v>
      </c>
      <c r="C104" s="33" t="s">
        <v>394</v>
      </c>
      <c r="D104" s="62" t="s">
        <v>489</v>
      </c>
      <c r="E104" s="62" t="s">
        <v>490</v>
      </c>
      <c r="F104" s="74" t="s">
        <v>258</v>
      </c>
      <c r="G104" s="75" t="s">
        <v>418</v>
      </c>
      <c r="H104" s="76">
        <v>12.99</v>
      </c>
      <c r="I104" s="77" t="s">
        <v>37</v>
      </c>
      <c r="J104" s="41">
        <f>H104/4</f>
        <v>3.2475000000000001</v>
      </c>
      <c r="K104" s="14" t="s">
        <v>17</v>
      </c>
      <c r="L104" s="78">
        <f>J104/16</f>
        <v>0.20296875</v>
      </c>
      <c r="M104" s="79" t="s">
        <v>471</v>
      </c>
      <c r="N104" s="80">
        <v>2.99</v>
      </c>
      <c r="P104" s="96">
        <f t="shared" si="4"/>
        <v>0.60687656250000011</v>
      </c>
    </row>
    <row r="105" spans="1:16" x14ac:dyDescent="0.35">
      <c r="A105" s="85">
        <v>44562</v>
      </c>
      <c r="B105" s="6" t="s">
        <v>253</v>
      </c>
      <c r="C105" s="33" t="s">
        <v>394</v>
      </c>
      <c r="D105" s="62" t="s">
        <v>489</v>
      </c>
      <c r="E105" s="62" t="s">
        <v>490</v>
      </c>
      <c r="F105" s="74" t="s">
        <v>214</v>
      </c>
      <c r="G105" s="75" t="s">
        <v>418</v>
      </c>
      <c r="H105" s="76">
        <v>5.7</v>
      </c>
      <c r="I105" s="77" t="s">
        <v>37</v>
      </c>
      <c r="J105" s="41">
        <f>H105/2</f>
        <v>2.85</v>
      </c>
      <c r="K105" s="14" t="s">
        <v>17</v>
      </c>
      <c r="L105" s="78">
        <f t="shared" ref="L105:L114" si="5">J105/16</f>
        <v>0.17812500000000001</v>
      </c>
      <c r="M105" s="79" t="s">
        <v>471</v>
      </c>
      <c r="N105" s="80">
        <v>1.19</v>
      </c>
      <c r="P105" s="96">
        <f t="shared" si="4"/>
        <v>0.21196874999999998</v>
      </c>
    </row>
    <row r="106" spans="1:16" x14ac:dyDescent="0.35">
      <c r="A106" s="85">
        <v>44562</v>
      </c>
      <c r="B106" s="104" t="s">
        <v>253</v>
      </c>
      <c r="C106" s="103" t="s">
        <v>395</v>
      </c>
      <c r="D106" s="62" t="s">
        <v>489</v>
      </c>
      <c r="E106" s="62" t="s">
        <v>490</v>
      </c>
      <c r="F106" s="74" t="s">
        <v>316</v>
      </c>
      <c r="G106" s="75" t="s">
        <v>466</v>
      </c>
      <c r="H106" s="76">
        <v>4.29</v>
      </c>
      <c r="I106" s="77" t="s">
        <v>17</v>
      </c>
      <c r="J106" s="41">
        <f>H106/2</f>
        <v>2.145</v>
      </c>
      <c r="M106" s="79" t="s">
        <v>471</v>
      </c>
      <c r="N106" s="80">
        <v>3.81</v>
      </c>
      <c r="P106" s="96">
        <f>J106*N106</f>
        <v>8.1724499999999995</v>
      </c>
    </row>
    <row r="107" spans="1:16" x14ac:dyDescent="0.35">
      <c r="A107" s="85">
        <v>44562</v>
      </c>
      <c r="B107" s="6" t="s">
        <v>253</v>
      </c>
      <c r="C107" s="33" t="s">
        <v>394</v>
      </c>
      <c r="D107" s="62" t="s">
        <v>489</v>
      </c>
      <c r="E107" s="62" t="s">
        <v>490</v>
      </c>
      <c r="F107" s="74" t="s">
        <v>256</v>
      </c>
      <c r="G107" s="75" t="s">
        <v>418</v>
      </c>
      <c r="H107" s="76">
        <v>5.63</v>
      </c>
      <c r="I107" s="77" t="s">
        <v>37</v>
      </c>
      <c r="J107" s="41">
        <f>H107/0.75</f>
        <v>7.5066666666666668</v>
      </c>
      <c r="K107" s="14" t="s">
        <v>17</v>
      </c>
      <c r="L107" s="78">
        <f t="shared" si="5"/>
        <v>0.46916666666666668</v>
      </c>
      <c r="M107" s="79" t="s">
        <v>471</v>
      </c>
      <c r="N107" s="80">
        <v>0.23</v>
      </c>
      <c r="P107" s="96">
        <f t="shared" si="4"/>
        <v>0.10790833333333334</v>
      </c>
    </row>
    <row r="108" spans="1:16" x14ac:dyDescent="0.35">
      <c r="A108" s="85">
        <v>44562</v>
      </c>
      <c r="B108" s="6" t="s">
        <v>253</v>
      </c>
      <c r="C108" s="33" t="s">
        <v>394</v>
      </c>
      <c r="D108" s="62" t="s">
        <v>489</v>
      </c>
      <c r="E108" s="62" t="s">
        <v>490</v>
      </c>
      <c r="F108" s="74" t="s">
        <v>275</v>
      </c>
      <c r="G108" s="75" t="s">
        <v>396</v>
      </c>
      <c r="H108" s="76">
        <v>40</v>
      </c>
      <c r="I108" s="77" t="s">
        <v>37</v>
      </c>
      <c r="J108" s="41">
        <f>H108/50</f>
        <v>0.8</v>
      </c>
      <c r="K108" s="14" t="s">
        <v>17</v>
      </c>
      <c r="L108" s="78">
        <f t="shared" si="5"/>
        <v>0.05</v>
      </c>
      <c r="P108" s="96"/>
    </row>
    <row r="109" spans="1:16" x14ac:dyDescent="0.35">
      <c r="A109" s="85">
        <v>44562</v>
      </c>
      <c r="B109" s="82" t="s">
        <v>253</v>
      </c>
      <c r="C109" s="33" t="s">
        <v>395</v>
      </c>
      <c r="D109" s="62" t="s">
        <v>489</v>
      </c>
      <c r="E109" s="62" t="s">
        <v>490</v>
      </c>
      <c r="F109" s="74" t="s">
        <v>108</v>
      </c>
      <c r="G109" s="75" t="s">
        <v>36</v>
      </c>
      <c r="H109" s="76">
        <v>2.78</v>
      </c>
      <c r="I109" s="77" t="s">
        <v>37</v>
      </c>
      <c r="J109" s="41">
        <f>H109/4</f>
        <v>0.69499999999999995</v>
      </c>
      <c r="K109" s="14" t="s">
        <v>17</v>
      </c>
      <c r="L109" s="78">
        <f t="shared" si="5"/>
        <v>4.3437499999999997E-2</v>
      </c>
      <c r="P109" s="96"/>
    </row>
    <row r="110" spans="1:16" x14ac:dyDescent="0.35">
      <c r="A110" s="85">
        <v>44562</v>
      </c>
      <c r="B110" s="82" t="s">
        <v>253</v>
      </c>
      <c r="C110" s="33" t="s">
        <v>124</v>
      </c>
      <c r="D110" s="62" t="s">
        <v>489</v>
      </c>
      <c r="E110" s="62" t="s">
        <v>490</v>
      </c>
      <c r="F110" s="74" t="s">
        <v>109</v>
      </c>
      <c r="P110" s="96"/>
    </row>
    <row r="111" spans="1:16" x14ac:dyDescent="0.35">
      <c r="A111" s="85">
        <v>44562</v>
      </c>
      <c r="B111" s="82" t="s">
        <v>253</v>
      </c>
      <c r="C111" s="33" t="s">
        <v>394</v>
      </c>
      <c r="D111" s="62" t="s">
        <v>489</v>
      </c>
      <c r="E111" s="62" t="s">
        <v>490</v>
      </c>
      <c r="F111" s="74" t="s">
        <v>255</v>
      </c>
      <c r="G111" s="75" t="s">
        <v>418</v>
      </c>
      <c r="H111" s="76">
        <v>10.99</v>
      </c>
      <c r="I111" s="77" t="s">
        <v>37</v>
      </c>
      <c r="J111" s="41">
        <f>H111/8</f>
        <v>1.37375</v>
      </c>
      <c r="K111" s="14" t="s">
        <v>17</v>
      </c>
      <c r="L111" s="78">
        <f t="shared" si="5"/>
        <v>8.5859375000000002E-2</v>
      </c>
      <c r="M111" s="79" t="s">
        <v>471</v>
      </c>
      <c r="N111" s="80">
        <v>6.1</v>
      </c>
      <c r="P111" s="96">
        <f t="shared" si="4"/>
        <v>0.52374218750000001</v>
      </c>
    </row>
    <row r="112" spans="1:16" x14ac:dyDescent="0.35">
      <c r="A112" s="85">
        <v>44562</v>
      </c>
      <c r="B112" s="82" t="s">
        <v>253</v>
      </c>
      <c r="C112" s="33" t="s">
        <v>394</v>
      </c>
      <c r="D112" s="62" t="s">
        <v>489</v>
      </c>
      <c r="E112" s="62" t="s">
        <v>490</v>
      </c>
      <c r="F112" s="74" t="s">
        <v>213</v>
      </c>
      <c r="G112" s="75" t="s">
        <v>418</v>
      </c>
      <c r="H112" s="76">
        <v>15.99</v>
      </c>
      <c r="I112" s="77" t="s">
        <v>37</v>
      </c>
      <c r="J112" s="41">
        <f>H112/5</f>
        <v>3.198</v>
      </c>
      <c r="K112" s="14" t="s">
        <v>17</v>
      </c>
      <c r="L112" s="78">
        <f t="shared" si="5"/>
        <v>0.199875</v>
      </c>
      <c r="M112" s="79" t="s">
        <v>471</v>
      </c>
      <c r="N112" s="80">
        <v>5.64</v>
      </c>
      <c r="O112" s="72" t="s">
        <v>17</v>
      </c>
      <c r="P112" s="96">
        <f t="shared" si="4"/>
        <v>1.1272949999999999</v>
      </c>
    </row>
    <row r="113" spans="1:16" x14ac:dyDescent="0.35">
      <c r="A113" s="85">
        <v>44562</v>
      </c>
      <c r="B113" s="82" t="s">
        <v>253</v>
      </c>
      <c r="C113" s="33" t="s">
        <v>394</v>
      </c>
      <c r="D113" s="62" t="s">
        <v>489</v>
      </c>
      <c r="E113" s="62" t="s">
        <v>490</v>
      </c>
      <c r="F113" s="74" t="s">
        <v>259</v>
      </c>
      <c r="G113" s="75" t="s">
        <v>396</v>
      </c>
      <c r="H113" s="76">
        <v>12.99</v>
      </c>
      <c r="I113" s="77" t="s">
        <v>37</v>
      </c>
      <c r="J113" s="41">
        <f>H113/25</f>
        <v>0.51960000000000006</v>
      </c>
      <c r="K113" s="14" t="s">
        <v>17</v>
      </c>
      <c r="L113" s="78">
        <f t="shared" si="5"/>
        <v>3.2475000000000004E-2</v>
      </c>
      <c r="M113" s="79" t="s">
        <v>471</v>
      </c>
      <c r="N113" s="80">
        <v>7.1</v>
      </c>
      <c r="O113" s="72" t="s">
        <v>17</v>
      </c>
      <c r="P113" s="96">
        <f>N113*L113</f>
        <v>0.23057250000000001</v>
      </c>
    </row>
    <row r="114" spans="1:16" x14ac:dyDescent="0.35">
      <c r="A114" s="85">
        <v>44562</v>
      </c>
      <c r="B114" s="82" t="s">
        <v>253</v>
      </c>
      <c r="C114" s="33" t="s">
        <v>395</v>
      </c>
      <c r="D114" s="62" t="s">
        <v>489</v>
      </c>
      <c r="E114" s="62" t="s">
        <v>490</v>
      </c>
      <c r="F114" s="74" t="s">
        <v>119</v>
      </c>
      <c r="G114" s="75" t="s">
        <v>418</v>
      </c>
      <c r="H114" s="76">
        <v>5.08</v>
      </c>
      <c r="I114" s="77" t="s">
        <v>37</v>
      </c>
      <c r="J114" s="41">
        <f>H114/7</f>
        <v>0.72571428571428576</v>
      </c>
      <c r="K114" s="14" t="s">
        <v>17</v>
      </c>
      <c r="L114" s="78">
        <f t="shared" si="5"/>
        <v>4.535714285714286E-2</v>
      </c>
      <c r="M114" s="79" t="s">
        <v>471</v>
      </c>
      <c r="N114" s="80">
        <v>10.16</v>
      </c>
      <c r="P114" s="96">
        <f t="shared" si="4"/>
        <v>0.46082857142857148</v>
      </c>
    </row>
    <row r="115" spans="1:16" x14ac:dyDescent="0.35">
      <c r="A115" s="85">
        <v>44562</v>
      </c>
      <c r="B115" s="82" t="s">
        <v>253</v>
      </c>
      <c r="C115" s="33" t="s">
        <v>124</v>
      </c>
      <c r="D115" s="62" t="s">
        <v>489</v>
      </c>
      <c r="E115" s="62" t="s">
        <v>490</v>
      </c>
      <c r="F115" s="74" t="s">
        <v>254</v>
      </c>
      <c r="G115" s="75" t="s">
        <v>320</v>
      </c>
      <c r="H115" s="76">
        <v>11.12</v>
      </c>
      <c r="I115" s="77" t="s">
        <v>209</v>
      </c>
      <c r="J115" s="41">
        <f>L115*48</f>
        <v>0.48523636363636358</v>
      </c>
      <c r="K115" s="14" t="s">
        <v>482</v>
      </c>
      <c r="L115" s="78">
        <f>H115/1100</f>
        <v>1.0109090909090908E-2</v>
      </c>
      <c r="P115" s="96"/>
    </row>
    <row r="116" spans="1:16" x14ac:dyDescent="0.35">
      <c r="A116" s="85">
        <v>44562</v>
      </c>
      <c r="B116" s="82" t="s">
        <v>253</v>
      </c>
      <c r="C116" s="33" t="s">
        <v>395</v>
      </c>
      <c r="D116" s="62" t="s">
        <v>489</v>
      </c>
      <c r="E116" s="62" t="s">
        <v>490</v>
      </c>
      <c r="F116" s="74" t="s">
        <v>257</v>
      </c>
      <c r="G116" s="75" t="s">
        <v>16</v>
      </c>
      <c r="H116" s="76">
        <v>29.08</v>
      </c>
      <c r="I116" s="77" t="s">
        <v>17</v>
      </c>
      <c r="J116" s="41">
        <f>H116/24</f>
        <v>1.2116666666666667</v>
      </c>
      <c r="M116" s="79" t="s">
        <v>471</v>
      </c>
      <c r="N116" s="80">
        <v>1.69</v>
      </c>
      <c r="P116" s="96">
        <f>J116*N116</f>
        <v>2.0477166666666666</v>
      </c>
    </row>
    <row r="117" spans="1:16" x14ac:dyDescent="0.35">
      <c r="A117" s="85">
        <v>44562</v>
      </c>
      <c r="B117" s="82" t="s">
        <v>253</v>
      </c>
      <c r="C117" s="33" t="s">
        <v>395</v>
      </c>
      <c r="D117" s="62" t="s">
        <v>489</v>
      </c>
      <c r="E117" s="62" t="s">
        <v>490</v>
      </c>
      <c r="F117" s="74" t="s">
        <v>66</v>
      </c>
      <c r="G117" s="75" t="s">
        <v>396</v>
      </c>
      <c r="H117" s="76">
        <v>2.59</v>
      </c>
      <c r="I117" s="77" t="s">
        <v>17</v>
      </c>
      <c r="J117" s="41">
        <f>H117/32</f>
        <v>8.0937499999999996E-2</v>
      </c>
      <c r="M117" s="79" t="s">
        <v>471</v>
      </c>
      <c r="N117" s="80">
        <v>4</v>
      </c>
      <c r="P117" s="96">
        <f>J117*N117</f>
        <v>0.32374999999999998</v>
      </c>
    </row>
    <row r="118" spans="1:16" x14ac:dyDescent="0.35">
      <c r="A118" s="85">
        <v>44562</v>
      </c>
      <c r="B118" s="6" t="s">
        <v>253</v>
      </c>
      <c r="C118" s="33" t="s">
        <v>394</v>
      </c>
      <c r="D118" s="62" t="s">
        <v>489</v>
      </c>
      <c r="E118" s="62" t="s">
        <v>490</v>
      </c>
      <c r="F118" s="74" t="s">
        <v>260</v>
      </c>
      <c r="G118" s="75" t="s">
        <v>396</v>
      </c>
      <c r="H118" s="76">
        <v>5.99</v>
      </c>
      <c r="I118" s="77" t="s">
        <v>37</v>
      </c>
      <c r="J118" s="41">
        <f>H118/25</f>
        <v>0.23960000000000001</v>
      </c>
      <c r="K118" s="14" t="s">
        <v>17</v>
      </c>
      <c r="L118" s="78">
        <f>J118/16</f>
        <v>1.4975E-2</v>
      </c>
      <c r="M118" s="79" t="s">
        <v>471</v>
      </c>
      <c r="N118" s="80">
        <v>10.16</v>
      </c>
      <c r="P118" s="96">
        <f t="shared" si="4"/>
        <v>0.152146</v>
      </c>
    </row>
    <row r="119" spans="1:16" x14ac:dyDescent="0.35">
      <c r="A119" s="85">
        <v>44562</v>
      </c>
      <c r="B119" s="100" t="s">
        <v>253</v>
      </c>
      <c r="C119" s="99" t="s">
        <v>395</v>
      </c>
      <c r="D119" s="62" t="s">
        <v>489</v>
      </c>
      <c r="E119" s="62" t="s">
        <v>490</v>
      </c>
      <c r="F119" s="74" t="s">
        <v>459</v>
      </c>
      <c r="G119" s="75" t="s">
        <v>418</v>
      </c>
      <c r="H119" s="76">
        <v>1.99</v>
      </c>
      <c r="I119" s="77" t="s">
        <v>17</v>
      </c>
      <c r="J119" s="41">
        <f>H119/10</f>
        <v>0.19900000000000001</v>
      </c>
      <c r="M119" s="79" t="s">
        <v>471</v>
      </c>
      <c r="N119" s="80">
        <v>5.08</v>
      </c>
      <c r="P119" s="96">
        <f>J119*N119</f>
        <v>1.01092</v>
      </c>
    </row>
    <row r="120" spans="1:16" x14ac:dyDescent="0.35">
      <c r="A120" s="85">
        <v>44562</v>
      </c>
      <c r="B120" s="109" t="s">
        <v>253</v>
      </c>
      <c r="C120" s="108" t="s">
        <v>395</v>
      </c>
      <c r="D120" s="62" t="s">
        <v>489</v>
      </c>
      <c r="E120" s="62" t="s">
        <v>490</v>
      </c>
      <c r="F120" s="74" t="s">
        <v>64</v>
      </c>
      <c r="G120" s="75" t="s">
        <v>449</v>
      </c>
      <c r="H120" s="76">
        <v>5.27</v>
      </c>
      <c r="I120" s="77" t="s">
        <v>416</v>
      </c>
      <c r="J120" s="41">
        <f>H120/32</f>
        <v>0.16468749999999999</v>
      </c>
      <c r="P120" s="96"/>
    </row>
    <row r="121" spans="1:16" x14ac:dyDescent="0.35">
      <c r="A121" s="85">
        <v>44562</v>
      </c>
      <c r="B121" s="6" t="s">
        <v>251</v>
      </c>
      <c r="C121" s="33" t="s">
        <v>205</v>
      </c>
      <c r="D121" s="62" t="s">
        <v>489</v>
      </c>
      <c r="E121" s="62" t="s">
        <v>490</v>
      </c>
      <c r="F121" s="74" t="s">
        <v>249</v>
      </c>
      <c r="G121" s="75" t="s">
        <v>36</v>
      </c>
      <c r="H121" s="76">
        <v>24</v>
      </c>
      <c r="I121" s="77" t="s">
        <v>396</v>
      </c>
      <c r="J121" s="41">
        <f>H121/6</f>
        <v>4</v>
      </c>
      <c r="K121" s="14" t="s">
        <v>251</v>
      </c>
      <c r="L121" s="78">
        <f>J121/12</f>
        <v>0.33333333333333331</v>
      </c>
    </row>
    <row r="122" spans="1:16" x14ac:dyDescent="0.35">
      <c r="A122" s="85">
        <v>44562</v>
      </c>
      <c r="B122" s="6" t="s">
        <v>251</v>
      </c>
      <c r="C122" s="33" t="s">
        <v>205</v>
      </c>
      <c r="D122" s="62" t="s">
        <v>489</v>
      </c>
      <c r="E122" s="62" t="s">
        <v>490</v>
      </c>
      <c r="F122" s="74" t="s">
        <v>248</v>
      </c>
      <c r="G122" s="75" t="s">
        <v>36</v>
      </c>
      <c r="H122" s="76">
        <v>24</v>
      </c>
      <c r="I122" s="77" t="s">
        <v>396</v>
      </c>
      <c r="J122" s="41">
        <f>H122/6</f>
        <v>4</v>
      </c>
      <c r="K122" s="14" t="s">
        <v>251</v>
      </c>
      <c r="L122" s="78">
        <f>J122/12</f>
        <v>0.33333333333333331</v>
      </c>
    </row>
    <row r="123" spans="1:16" x14ac:dyDescent="0.35">
      <c r="A123" s="85">
        <v>44562</v>
      </c>
      <c r="B123" s="97" t="s">
        <v>251</v>
      </c>
      <c r="C123" s="33" t="s">
        <v>205</v>
      </c>
      <c r="D123" s="62" t="s">
        <v>489</v>
      </c>
      <c r="E123" s="62" t="s">
        <v>490</v>
      </c>
      <c r="F123" s="74" t="s">
        <v>247</v>
      </c>
      <c r="G123" s="75" t="s">
        <v>36</v>
      </c>
      <c r="H123" s="76">
        <v>24</v>
      </c>
      <c r="I123" s="77" t="s">
        <v>396</v>
      </c>
      <c r="J123" s="41">
        <f>H123/6</f>
        <v>4</v>
      </c>
      <c r="K123" s="14" t="s">
        <v>251</v>
      </c>
      <c r="L123" s="78">
        <f>J123/12</f>
        <v>0.33333333333333331</v>
      </c>
    </row>
    <row r="127" spans="1:16" x14ac:dyDescent="0.35">
      <c r="B127" s="82"/>
    </row>
    <row r="128" spans="1:16" x14ac:dyDescent="0.35">
      <c r="B128" s="82"/>
    </row>
    <row r="129" spans="2:5" x14ac:dyDescent="0.35">
      <c r="B129" s="82"/>
    </row>
    <row r="132" spans="2:5" x14ac:dyDescent="0.35">
      <c r="B132" s="82"/>
      <c r="C132" s="81"/>
      <c r="D132" s="81"/>
      <c r="E132" s="81"/>
    </row>
    <row r="133" spans="2:5" x14ac:dyDescent="0.35">
      <c r="B133" s="82"/>
      <c r="C133" s="81"/>
      <c r="D133" s="81"/>
      <c r="E133" s="81"/>
    </row>
  </sheetData>
  <sortState xmlns:xlrd2="http://schemas.microsoft.com/office/spreadsheetml/2017/richdata2" ref="A3:P145">
    <sortCondition ref="B3:B145"/>
    <sortCondition ref="F3:F145"/>
  </sortState>
  <mergeCells count="1">
    <mergeCell ref="A1:P1"/>
  </mergeCells>
  <pageMargins left="0.25" right="0.25" top="0.75" bottom="0.75" header="0.3" footer="0.3"/>
  <pageSetup scale="81" fitToHeight="0" orientation="landscape" blackAndWhite="1" horizontalDpi="4294967293" verticalDpi="200" r:id="rId1"/>
  <headerFooter>
    <oddHeader>&amp;A</oddHeader>
    <oddFooter>&amp;L&amp;P&amp;R&amp;D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1BBCE-4C31-48C8-9616-43D333FA2B93}">
  <sheetPr codeName="Sheet2">
    <pageSetUpPr fitToPage="1"/>
  </sheetPr>
  <dimension ref="A1:L31"/>
  <sheetViews>
    <sheetView showGridLines="0" workbookViewId="0">
      <pane ySplit="2" topLeftCell="A3" activePane="bottomLeft" state="frozen"/>
      <selection pane="bottomLeft" sqref="A1:L1"/>
    </sheetView>
  </sheetViews>
  <sheetFormatPr defaultRowHeight="14.5" x14ac:dyDescent="0.35"/>
  <cols>
    <col min="1" max="1" width="10.453125" style="12" bestFit="1" customWidth="1"/>
    <col min="2" max="2" width="8.90625" style="5" bestFit="1" customWidth="1"/>
    <col min="3" max="3" width="12.26953125" style="48" bestFit="1" customWidth="1"/>
    <col min="4" max="4" width="17.90625" style="28" bestFit="1" customWidth="1"/>
    <col min="5" max="5" width="8.7265625" style="21"/>
    <col min="6" max="6" width="6.81640625" style="43" bestFit="1" customWidth="1"/>
    <col min="7" max="7" width="8.6328125" style="15" customWidth="1"/>
    <col min="8" max="8" width="6.81640625" style="40" bestFit="1" customWidth="1"/>
    <col min="9" max="9" width="8.7265625" style="13"/>
    <col min="10" max="10" width="6.81640625" style="37" customWidth="1"/>
    <col min="11" max="11" width="8.7265625" style="16"/>
    <col min="12" max="12" width="8.1796875" style="45" customWidth="1"/>
  </cols>
  <sheetData>
    <row r="1" spans="1:12" s="4" customFormat="1" ht="24" thickBot="1" x14ac:dyDescent="0.6">
      <c r="A1" s="115" t="s">
        <v>20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7"/>
    </row>
    <row r="2" spans="1:12" s="25" customFormat="1" ht="37.5" thickBot="1" x14ac:dyDescent="0.5">
      <c r="A2" s="22" t="s">
        <v>19</v>
      </c>
      <c r="B2" s="22" t="s">
        <v>21</v>
      </c>
      <c r="C2" s="47" t="s">
        <v>121</v>
      </c>
      <c r="D2" s="26" t="s">
        <v>0</v>
      </c>
      <c r="E2" s="23" t="s">
        <v>1</v>
      </c>
      <c r="F2" s="38" t="s">
        <v>18</v>
      </c>
      <c r="G2" s="23" t="s">
        <v>1</v>
      </c>
      <c r="H2" s="38" t="s">
        <v>18</v>
      </c>
      <c r="I2" s="24" t="s">
        <v>1</v>
      </c>
      <c r="J2" s="35" t="s">
        <v>18</v>
      </c>
      <c r="K2" s="23" t="s">
        <v>1</v>
      </c>
      <c r="L2" s="38" t="s">
        <v>18</v>
      </c>
    </row>
    <row r="3" spans="1:12" x14ac:dyDescent="0.35">
      <c r="A3" s="85">
        <v>44562</v>
      </c>
      <c r="B3" s="3"/>
      <c r="C3" s="62" t="s">
        <v>489</v>
      </c>
      <c r="D3" s="27" t="s">
        <v>417</v>
      </c>
      <c r="E3" s="20" t="s">
        <v>36</v>
      </c>
      <c r="F3" s="42">
        <v>58.99</v>
      </c>
      <c r="G3" s="17" t="s">
        <v>73</v>
      </c>
      <c r="H3" s="39">
        <f>F3/5</f>
        <v>11.798</v>
      </c>
      <c r="I3" s="18" t="s">
        <v>37</v>
      </c>
      <c r="J3" s="36">
        <f>H3/10</f>
        <v>1.1798</v>
      </c>
      <c r="K3" s="19" t="s">
        <v>74</v>
      </c>
      <c r="L3" s="44">
        <f>J3/64</f>
        <v>1.8434374999999999E-2</v>
      </c>
    </row>
    <row r="4" spans="1:12" x14ac:dyDescent="0.35">
      <c r="A4" s="85">
        <v>44562</v>
      </c>
      <c r="C4" s="62" t="s">
        <v>489</v>
      </c>
      <c r="D4" s="28" t="s">
        <v>420</v>
      </c>
      <c r="E4" s="21" t="s">
        <v>36</v>
      </c>
      <c r="F4" s="43">
        <v>24.49</v>
      </c>
      <c r="G4" s="15" t="s">
        <v>396</v>
      </c>
      <c r="I4" s="14"/>
    </row>
    <row r="5" spans="1:12" x14ac:dyDescent="0.35">
      <c r="A5" s="85">
        <v>44562</v>
      </c>
      <c r="C5" s="62" t="s">
        <v>489</v>
      </c>
      <c r="D5" s="28" t="s">
        <v>421</v>
      </c>
      <c r="E5" s="21" t="s">
        <v>36</v>
      </c>
      <c r="F5" s="43">
        <v>28.49</v>
      </c>
      <c r="H5" s="41"/>
    </row>
    <row r="6" spans="1:12" x14ac:dyDescent="0.35">
      <c r="A6" s="85">
        <v>44562</v>
      </c>
      <c r="C6" s="62" t="s">
        <v>489</v>
      </c>
      <c r="D6" s="28" t="s">
        <v>422</v>
      </c>
      <c r="E6" s="21" t="s">
        <v>36</v>
      </c>
      <c r="F6" s="43">
        <v>29.99</v>
      </c>
      <c r="G6" s="15" t="s">
        <v>73</v>
      </c>
      <c r="H6" s="41">
        <f>F6/10</f>
        <v>2.9989999999999997</v>
      </c>
      <c r="I6" s="13" t="s">
        <v>452</v>
      </c>
      <c r="J6" s="37">
        <f>H6/100</f>
        <v>2.9989999999999996E-2</v>
      </c>
    </row>
    <row r="7" spans="1:12" x14ac:dyDescent="0.35">
      <c r="A7" s="85">
        <v>44562</v>
      </c>
      <c r="C7" s="62" t="s">
        <v>489</v>
      </c>
      <c r="D7" s="28" t="s">
        <v>451</v>
      </c>
      <c r="E7" s="21" t="s">
        <v>36</v>
      </c>
      <c r="F7" s="43">
        <v>41.99</v>
      </c>
      <c r="G7" s="15" t="s">
        <v>73</v>
      </c>
      <c r="H7" s="41">
        <f>F7/10</f>
        <v>4.1989999999999998</v>
      </c>
      <c r="I7" s="13" t="s">
        <v>452</v>
      </c>
      <c r="J7" s="37">
        <f>H7/100</f>
        <v>4.199E-2</v>
      </c>
    </row>
    <row r="8" spans="1:12" x14ac:dyDescent="0.35">
      <c r="A8" s="85">
        <v>44562</v>
      </c>
      <c r="C8" s="62" t="s">
        <v>489</v>
      </c>
      <c r="D8" s="28" t="s">
        <v>423</v>
      </c>
      <c r="E8" s="21" t="s">
        <v>424</v>
      </c>
      <c r="F8" s="43">
        <v>15.49</v>
      </c>
      <c r="G8" s="15" t="s">
        <v>73</v>
      </c>
      <c r="H8" s="41">
        <f>F8/50</f>
        <v>0.30980000000000002</v>
      </c>
    </row>
    <row r="9" spans="1:12" x14ac:dyDescent="0.35">
      <c r="A9" s="85">
        <v>44562</v>
      </c>
      <c r="C9" s="62" t="s">
        <v>489</v>
      </c>
      <c r="D9" s="28" t="s">
        <v>425</v>
      </c>
      <c r="E9" s="21" t="s">
        <v>424</v>
      </c>
      <c r="F9" s="43">
        <v>15.49</v>
      </c>
      <c r="G9" s="15" t="s">
        <v>73</v>
      </c>
      <c r="H9" s="41">
        <f t="shared" ref="H9:H10" si="0">F9/50</f>
        <v>0.30980000000000002</v>
      </c>
    </row>
    <row r="10" spans="1:12" x14ac:dyDescent="0.35">
      <c r="A10" s="85">
        <v>44562</v>
      </c>
      <c r="C10" s="62" t="s">
        <v>489</v>
      </c>
      <c r="D10" s="28" t="s">
        <v>426</v>
      </c>
      <c r="E10" s="21" t="s">
        <v>424</v>
      </c>
      <c r="F10" s="43">
        <v>12.99</v>
      </c>
      <c r="G10" s="15" t="s">
        <v>73</v>
      </c>
      <c r="H10" s="41">
        <f t="shared" si="0"/>
        <v>0.25980000000000003</v>
      </c>
    </row>
    <row r="11" spans="1:12" x14ac:dyDescent="0.35">
      <c r="A11" s="85">
        <v>44562</v>
      </c>
      <c r="C11" s="62" t="s">
        <v>489</v>
      </c>
      <c r="D11" s="28" t="s">
        <v>427</v>
      </c>
      <c r="E11" s="21" t="s">
        <v>428</v>
      </c>
      <c r="F11" s="43">
        <v>17.66</v>
      </c>
      <c r="H11" s="41"/>
    </row>
    <row r="12" spans="1:12" x14ac:dyDescent="0.35">
      <c r="A12" s="85">
        <v>44562</v>
      </c>
      <c r="C12" s="62" t="s">
        <v>489</v>
      </c>
      <c r="D12" s="28" t="s">
        <v>431</v>
      </c>
      <c r="E12" s="21" t="s">
        <v>36</v>
      </c>
      <c r="F12" s="43">
        <v>15.27</v>
      </c>
      <c r="G12" s="15" t="s">
        <v>298</v>
      </c>
      <c r="H12" s="41">
        <f>F12/10</f>
        <v>1.5269999999999999</v>
      </c>
      <c r="I12" s="13" t="s">
        <v>432</v>
      </c>
      <c r="J12" s="37">
        <f>H12/100</f>
        <v>1.5269999999999999E-2</v>
      </c>
    </row>
    <row r="13" spans="1:12" x14ac:dyDescent="0.35">
      <c r="A13" s="85">
        <v>44562</v>
      </c>
      <c r="C13" s="62" t="s">
        <v>489</v>
      </c>
      <c r="D13" s="28" t="s">
        <v>433</v>
      </c>
      <c r="E13" s="21" t="s">
        <v>36</v>
      </c>
      <c r="F13" s="43">
        <v>25.3</v>
      </c>
      <c r="G13" s="15" t="s">
        <v>209</v>
      </c>
      <c r="H13" s="41">
        <f>F13/1000</f>
        <v>2.53E-2</v>
      </c>
    </row>
    <row r="14" spans="1:12" x14ac:dyDescent="0.35">
      <c r="A14" s="85">
        <v>44562</v>
      </c>
      <c r="C14" s="62" t="s">
        <v>489</v>
      </c>
      <c r="D14" s="28" t="s">
        <v>434</v>
      </c>
      <c r="E14" s="21" t="s">
        <v>36</v>
      </c>
      <c r="F14" s="43">
        <v>72.260000000000005</v>
      </c>
      <c r="G14" s="15" t="s">
        <v>209</v>
      </c>
      <c r="H14" s="41">
        <f>F14/232</f>
        <v>0.31146551724137933</v>
      </c>
    </row>
    <row r="15" spans="1:12" x14ac:dyDescent="0.35">
      <c r="A15" s="85">
        <v>44562</v>
      </c>
      <c r="C15" s="62" t="s">
        <v>489</v>
      </c>
      <c r="D15" s="28" t="s">
        <v>445</v>
      </c>
      <c r="E15" s="21" t="s">
        <v>36</v>
      </c>
      <c r="F15" s="43">
        <v>14.49</v>
      </c>
      <c r="G15" s="15" t="s">
        <v>292</v>
      </c>
      <c r="H15" s="41">
        <f>F15/200</f>
        <v>7.2450000000000001E-2</v>
      </c>
    </row>
    <row r="16" spans="1:12" x14ac:dyDescent="0.35">
      <c r="A16" s="85">
        <v>44562</v>
      </c>
      <c r="C16" s="62" t="s">
        <v>489</v>
      </c>
      <c r="D16" s="28" t="s">
        <v>446</v>
      </c>
      <c r="E16" s="21" t="s">
        <v>36</v>
      </c>
      <c r="F16" s="43">
        <v>16.989999999999998</v>
      </c>
      <c r="G16" s="15" t="s">
        <v>292</v>
      </c>
      <c r="H16" s="41">
        <f>F16/500</f>
        <v>3.3979999999999996E-2</v>
      </c>
    </row>
    <row r="17" spans="1:10" x14ac:dyDescent="0.35">
      <c r="A17" s="85">
        <v>44562</v>
      </c>
      <c r="C17" s="62" t="s">
        <v>489</v>
      </c>
      <c r="D17" s="28" t="s">
        <v>447</v>
      </c>
      <c r="E17" s="21" t="s">
        <v>36</v>
      </c>
      <c r="F17" s="43">
        <v>54.49</v>
      </c>
      <c r="G17" s="15" t="s">
        <v>292</v>
      </c>
      <c r="H17" s="41">
        <f>F17/200</f>
        <v>0.27245000000000003</v>
      </c>
    </row>
    <row r="18" spans="1:10" x14ac:dyDescent="0.35">
      <c r="A18" s="85">
        <v>44562</v>
      </c>
      <c r="C18" s="62" t="s">
        <v>489</v>
      </c>
      <c r="D18" s="28" t="s">
        <v>448</v>
      </c>
      <c r="E18" s="21" t="s">
        <v>424</v>
      </c>
      <c r="F18" s="43">
        <v>11.49</v>
      </c>
      <c r="G18" s="15" t="s">
        <v>73</v>
      </c>
      <c r="H18" s="41">
        <f>F18/100</f>
        <v>0.1149</v>
      </c>
    </row>
    <row r="19" spans="1:10" x14ac:dyDescent="0.35">
      <c r="A19" s="85">
        <v>44562</v>
      </c>
      <c r="C19" s="62" t="s">
        <v>489</v>
      </c>
      <c r="D19" s="28" t="s">
        <v>462</v>
      </c>
      <c r="E19" s="21" t="s">
        <v>36</v>
      </c>
      <c r="F19" s="43">
        <v>20.82</v>
      </c>
      <c r="G19" s="15" t="s">
        <v>25</v>
      </c>
      <c r="H19" s="41">
        <f>F19/232</f>
        <v>8.9741379310344829E-2</v>
      </c>
    </row>
    <row r="20" spans="1:10" x14ac:dyDescent="0.35">
      <c r="A20" s="85">
        <v>44562</v>
      </c>
      <c r="C20" s="62" t="s">
        <v>489</v>
      </c>
      <c r="D20" s="28" t="s">
        <v>453</v>
      </c>
      <c r="E20" s="21" t="s">
        <v>36</v>
      </c>
      <c r="F20" s="43">
        <v>14.49</v>
      </c>
      <c r="G20" s="105" t="s">
        <v>25</v>
      </c>
      <c r="H20" s="41">
        <f>F20/1000</f>
        <v>1.4489999999999999E-2</v>
      </c>
    </row>
    <row r="21" spans="1:10" x14ac:dyDescent="0.35">
      <c r="A21" s="85">
        <v>44562</v>
      </c>
      <c r="C21" s="62" t="s">
        <v>489</v>
      </c>
      <c r="D21" s="28" t="s">
        <v>454</v>
      </c>
      <c r="E21" s="21" t="s">
        <v>320</v>
      </c>
      <c r="F21" s="43">
        <v>17.489999999999998</v>
      </c>
      <c r="H21" s="41"/>
    </row>
    <row r="22" spans="1:10" x14ac:dyDescent="0.35">
      <c r="A22" s="85">
        <v>44562</v>
      </c>
      <c r="C22" s="62" t="s">
        <v>489</v>
      </c>
      <c r="D22" s="28" t="s">
        <v>455</v>
      </c>
      <c r="E22" s="21" t="s">
        <v>320</v>
      </c>
      <c r="F22" s="43">
        <v>24.49</v>
      </c>
      <c r="H22" s="41"/>
    </row>
    <row r="23" spans="1:10" x14ac:dyDescent="0.35">
      <c r="A23" s="85">
        <v>44562</v>
      </c>
      <c r="C23" s="62" t="s">
        <v>489</v>
      </c>
      <c r="D23" s="28" t="s">
        <v>456</v>
      </c>
      <c r="E23" s="21" t="s">
        <v>36</v>
      </c>
      <c r="F23" s="43">
        <v>20.49</v>
      </c>
      <c r="G23" s="15" t="s">
        <v>25</v>
      </c>
      <c r="H23" s="40">
        <f>F23/1000</f>
        <v>2.0489999999999998E-2</v>
      </c>
    </row>
    <row r="24" spans="1:10" x14ac:dyDescent="0.35">
      <c r="A24" s="85">
        <v>44562</v>
      </c>
      <c r="C24" s="62" t="s">
        <v>489</v>
      </c>
      <c r="D24" s="28" t="s">
        <v>457</v>
      </c>
      <c r="E24" s="21" t="s">
        <v>36</v>
      </c>
      <c r="F24" s="43">
        <v>21.49</v>
      </c>
      <c r="G24" s="15" t="s">
        <v>209</v>
      </c>
      <c r="H24" s="40">
        <f>F24/1000</f>
        <v>2.1489999999999999E-2</v>
      </c>
    </row>
    <row r="25" spans="1:10" x14ac:dyDescent="0.35">
      <c r="A25" s="85">
        <v>44562</v>
      </c>
      <c r="C25" s="62" t="s">
        <v>489</v>
      </c>
      <c r="D25" s="28" t="s">
        <v>458</v>
      </c>
      <c r="E25" s="21" t="s">
        <v>36</v>
      </c>
      <c r="F25" s="43">
        <v>16.989999999999998</v>
      </c>
      <c r="G25" s="15" t="s">
        <v>396</v>
      </c>
      <c r="H25" s="40">
        <f>F25/500</f>
        <v>3.3979999999999996E-2</v>
      </c>
    </row>
    <row r="26" spans="1:10" x14ac:dyDescent="0.35">
      <c r="A26" s="85">
        <v>44562</v>
      </c>
      <c r="C26" s="62" t="s">
        <v>489</v>
      </c>
      <c r="D26" s="28" t="s">
        <v>183</v>
      </c>
      <c r="E26" s="21" t="s">
        <v>36</v>
      </c>
      <c r="F26" s="43">
        <v>46.49</v>
      </c>
      <c r="G26" s="15" t="s">
        <v>73</v>
      </c>
      <c r="H26" s="40">
        <f>F26/12</f>
        <v>3.874166666666667</v>
      </c>
      <c r="I26" s="13" t="s">
        <v>461</v>
      </c>
      <c r="J26" s="37">
        <f>H26/500</f>
        <v>7.7483333333333336E-3</v>
      </c>
    </row>
    <row r="27" spans="1:10" x14ac:dyDescent="0.35">
      <c r="A27" s="85">
        <v>44562</v>
      </c>
      <c r="C27" s="62" t="s">
        <v>489</v>
      </c>
      <c r="D27" s="28" t="s">
        <v>302</v>
      </c>
      <c r="E27" s="21" t="s">
        <v>73</v>
      </c>
      <c r="F27" s="43">
        <v>25.99</v>
      </c>
      <c r="G27" s="15" t="s">
        <v>346</v>
      </c>
      <c r="H27" s="40">
        <f>F27/12000</f>
        <v>2.1658333333333334E-3</v>
      </c>
    </row>
    <row r="28" spans="1:10" x14ac:dyDescent="0.35">
      <c r="A28" s="85">
        <v>44562</v>
      </c>
      <c r="C28" s="62" t="s">
        <v>489</v>
      </c>
      <c r="D28" s="28" t="s">
        <v>484</v>
      </c>
      <c r="E28" s="21" t="s">
        <v>36</v>
      </c>
      <c r="F28" s="43">
        <v>53.22</v>
      </c>
      <c r="G28" s="15" t="s">
        <v>292</v>
      </c>
      <c r="H28" s="40">
        <f>F28/500</f>
        <v>0.10643999999999999</v>
      </c>
    </row>
    <row r="29" spans="1:10" x14ac:dyDescent="0.35">
      <c r="A29" s="85">
        <v>44562</v>
      </c>
      <c r="C29" s="62" t="s">
        <v>489</v>
      </c>
      <c r="D29" s="28" t="s">
        <v>485</v>
      </c>
      <c r="E29" s="21" t="s">
        <v>36</v>
      </c>
      <c r="F29" s="43">
        <v>26.05</v>
      </c>
      <c r="G29" s="15" t="s">
        <v>292</v>
      </c>
      <c r="H29" s="40">
        <f>F29/500</f>
        <v>5.21E-2</v>
      </c>
    </row>
    <row r="30" spans="1:10" x14ac:dyDescent="0.35">
      <c r="A30" s="85">
        <v>44562</v>
      </c>
      <c r="C30" s="62" t="s">
        <v>489</v>
      </c>
      <c r="D30" s="28" t="s">
        <v>486</v>
      </c>
      <c r="E30" s="21" t="s">
        <v>36</v>
      </c>
      <c r="F30" s="43">
        <v>18.12</v>
      </c>
      <c r="G30" s="15" t="s">
        <v>292</v>
      </c>
      <c r="H30" s="40">
        <f>F30/500</f>
        <v>3.6240000000000001E-2</v>
      </c>
    </row>
    <row r="31" spans="1:10" x14ac:dyDescent="0.35">
      <c r="A31" s="85">
        <v>44562</v>
      </c>
      <c r="C31" s="62" t="s">
        <v>489</v>
      </c>
      <c r="D31" s="28" t="s">
        <v>487</v>
      </c>
      <c r="E31" s="21" t="s">
        <v>73</v>
      </c>
      <c r="F31" s="43">
        <v>5.07</v>
      </c>
      <c r="G31" s="15" t="s">
        <v>292</v>
      </c>
      <c r="H31" s="40">
        <f>F31/425</f>
        <v>1.1929411764705883E-2</v>
      </c>
    </row>
  </sheetData>
  <mergeCells count="1">
    <mergeCell ref="A1:L1"/>
  </mergeCells>
  <pageMargins left="0.25" right="0.25" top="0.75" bottom="0.75" header="0.3" footer="0.3"/>
  <pageSetup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2AE55-1521-4C74-AAEC-E35AC5A38922}">
  <sheetPr>
    <pageSetUpPr fitToPage="1"/>
  </sheetPr>
  <dimension ref="B1:U49"/>
  <sheetViews>
    <sheetView showGridLines="0" topLeftCell="B1" zoomScale="85" zoomScaleNormal="85" workbookViewId="0">
      <selection activeCell="C1" sqref="C1:O1"/>
    </sheetView>
  </sheetViews>
  <sheetFormatPr defaultRowHeight="14.5" x14ac:dyDescent="0.35"/>
  <cols>
    <col min="1" max="1" width="3.1796875" customWidth="1"/>
    <col min="2" max="2" width="16.6328125" bestFit="1" customWidth="1"/>
    <col min="5" max="5" width="12.26953125" bestFit="1" customWidth="1"/>
    <col min="9" max="9" width="15.6328125" bestFit="1" customWidth="1"/>
    <col min="12" max="12" width="12.26953125" bestFit="1" customWidth="1"/>
    <col min="16" max="16" width="19.54296875" bestFit="1" customWidth="1"/>
    <col min="17" max="17" width="8.1796875" bestFit="1" customWidth="1"/>
    <col min="18" max="18" width="8.7265625" customWidth="1"/>
    <col min="19" max="19" width="12.26953125" bestFit="1" customWidth="1"/>
    <col min="20" max="20" width="12.90625" customWidth="1"/>
    <col min="21" max="21" width="10.36328125" bestFit="1" customWidth="1"/>
  </cols>
  <sheetData>
    <row r="1" spans="2:21" ht="23.5" x14ac:dyDescent="0.55000000000000004">
      <c r="C1" s="118" t="s">
        <v>220</v>
      </c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3" spans="2:21" ht="15.5" x14ac:dyDescent="0.35">
      <c r="B3" s="119" t="s">
        <v>102</v>
      </c>
      <c r="C3" s="120"/>
      <c r="D3" s="121"/>
      <c r="E3" s="122" t="s">
        <v>304</v>
      </c>
      <c r="F3" s="123"/>
      <c r="G3" s="30">
        <f>SUM(G9:G17)</f>
        <v>26.161288346190432</v>
      </c>
      <c r="I3" s="119" t="s">
        <v>84</v>
      </c>
      <c r="J3" s="120"/>
      <c r="K3" s="121"/>
      <c r="L3" s="122" t="s">
        <v>304</v>
      </c>
      <c r="M3" s="123"/>
      <c r="N3" s="30">
        <f>SUM(N9:N15)</f>
        <v>43.377261697916673</v>
      </c>
      <c r="P3" s="119" t="s">
        <v>299</v>
      </c>
      <c r="Q3" s="120"/>
      <c r="R3" s="121"/>
      <c r="S3" s="122" t="s">
        <v>304</v>
      </c>
      <c r="T3" s="123"/>
      <c r="U3" s="30">
        <f>SUM(U9:U12)</f>
        <v>0.98290489274490833</v>
      </c>
    </row>
    <row r="4" spans="2:21" x14ac:dyDescent="0.35">
      <c r="B4" s="9"/>
      <c r="E4" s="51" t="s">
        <v>218</v>
      </c>
      <c r="F4" s="5">
        <v>550</v>
      </c>
      <c r="G4" s="5" t="s">
        <v>219</v>
      </c>
      <c r="I4" s="9"/>
      <c r="L4" s="51" t="s">
        <v>218</v>
      </c>
      <c r="M4" s="5">
        <v>1100</v>
      </c>
      <c r="N4" s="5" t="s">
        <v>219</v>
      </c>
      <c r="P4" s="9"/>
      <c r="S4" s="51" t="s">
        <v>218</v>
      </c>
      <c r="T4" s="5">
        <v>10</v>
      </c>
      <c r="U4" s="5" t="s">
        <v>300</v>
      </c>
    </row>
    <row r="5" spans="2:21" ht="15.5" x14ac:dyDescent="0.35">
      <c r="B5" s="50"/>
      <c r="E5" s="122" t="s">
        <v>221</v>
      </c>
      <c r="F5" s="123"/>
      <c r="G5" s="53">
        <f>G3/F4</f>
        <v>4.7565978811255329E-2</v>
      </c>
      <c r="I5" s="50"/>
      <c r="L5" s="122" t="s">
        <v>221</v>
      </c>
      <c r="M5" s="123"/>
      <c r="N5" s="53">
        <f>N3/M4</f>
        <v>3.9433874270833336E-2</v>
      </c>
      <c r="P5" s="50"/>
      <c r="S5" s="122" t="s">
        <v>301</v>
      </c>
      <c r="T5" s="123"/>
      <c r="U5" s="30">
        <f>U3/T4</f>
        <v>9.8290489274490828E-2</v>
      </c>
    </row>
    <row r="6" spans="2:21" x14ac:dyDescent="0.35">
      <c r="B6" s="50"/>
      <c r="E6" s="127"/>
      <c r="F6" s="127"/>
      <c r="G6" s="52"/>
      <c r="I6" s="50"/>
      <c r="L6" s="127"/>
      <c r="M6" s="127"/>
      <c r="N6" s="52"/>
      <c r="P6" s="50"/>
      <c r="S6" s="127"/>
      <c r="T6" s="127"/>
      <c r="U6" s="52"/>
    </row>
    <row r="7" spans="2:21" x14ac:dyDescent="0.35">
      <c r="B7" s="10"/>
      <c r="C7" s="124" t="s">
        <v>13</v>
      </c>
      <c r="D7" s="125"/>
      <c r="E7" s="126" t="s">
        <v>14</v>
      </c>
      <c r="F7" s="126"/>
      <c r="G7" s="5" t="s">
        <v>6</v>
      </c>
      <c r="I7" s="10"/>
      <c r="J7" s="124" t="s">
        <v>13</v>
      </c>
      <c r="K7" s="125"/>
      <c r="L7" s="126" t="s">
        <v>14</v>
      </c>
      <c r="M7" s="126"/>
      <c r="N7" s="5" t="s">
        <v>6</v>
      </c>
      <c r="P7" s="10"/>
      <c r="Q7" s="124" t="s">
        <v>13</v>
      </c>
      <c r="R7" s="125"/>
      <c r="S7" s="126" t="s">
        <v>14</v>
      </c>
      <c r="T7" s="126"/>
      <c r="U7" s="5" t="s">
        <v>6</v>
      </c>
    </row>
    <row r="8" spans="2:21" x14ac:dyDescent="0.35">
      <c r="B8" s="5" t="s">
        <v>10</v>
      </c>
      <c r="C8" s="5" t="s">
        <v>2</v>
      </c>
      <c r="D8" s="5" t="s">
        <v>1</v>
      </c>
      <c r="E8" s="5" t="s">
        <v>11</v>
      </c>
      <c r="F8" s="5" t="s">
        <v>1</v>
      </c>
      <c r="G8" s="5" t="s">
        <v>15</v>
      </c>
      <c r="I8" s="5" t="s">
        <v>10</v>
      </c>
      <c r="J8" s="5" t="s">
        <v>2</v>
      </c>
      <c r="K8" s="5" t="s">
        <v>1</v>
      </c>
      <c r="L8" s="5" t="s">
        <v>11</v>
      </c>
      <c r="M8" s="5" t="s">
        <v>1</v>
      </c>
      <c r="N8" s="5" t="s">
        <v>15</v>
      </c>
      <c r="P8" s="5" t="s">
        <v>10</v>
      </c>
      <c r="Q8" s="5" t="s">
        <v>2</v>
      </c>
      <c r="R8" s="5" t="s">
        <v>1</v>
      </c>
      <c r="S8" s="5" t="s">
        <v>11</v>
      </c>
      <c r="T8" s="5" t="s">
        <v>1</v>
      </c>
      <c r="U8" s="5" t="s">
        <v>15</v>
      </c>
    </row>
    <row r="9" spans="2:21" x14ac:dyDescent="0.35">
      <c r="B9" s="7">
        <v>711</v>
      </c>
      <c r="C9" s="7">
        <v>2</v>
      </c>
      <c r="D9" s="7" t="s">
        <v>392</v>
      </c>
      <c r="E9" s="5">
        <f>'Food Prices'!J3</f>
        <v>6.291666666666667</v>
      </c>
      <c r="F9" s="5" t="str">
        <f>D9</f>
        <v>Can</v>
      </c>
      <c r="G9" s="5">
        <f t="shared" ref="G9:G12" si="0">C9*E9</f>
        <v>12.583333333333334</v>
      </c>
      <c r="I9" s="7">
        <v>711</v>
      </c>
      <c r="J9" s="7">
        <v>4</v>
      </c>
      <c r="K9" s="7" t="s">
        <v>392</v>
      </c>
      <c r="L9" s="5">
        <f>'Food Prices'!J3</f>
        <v>6.291666666666667</v>
      </c>
      <c r="M9" s="5" t="str">
        <f>K9</f>
        <v>Can</v>
      </c>
      <c r="N9" s="5">
        <f t="shared" ref="N9:N12" si="1">J9*L9</f>
        <v>25.166666666666668</v>
      </c>
      <c r="P9" s="7" t="s">
        <v>61</v>
      </c>
      <c r="Q9" s="7">
        <v>11</v>
      </c>
      <c r="R9" s="7" t="s">
        <v>17</v>
      </c>
      <c r="S9" s="5">
        <f>N19</f>
        <v>3.3574516898448738E-2</v>
      </c>
      <c r="T9" s="5" t="str">
        <f>R9</f>
        <v>Oz</v>
      </c>
      <c r="U9" s="5">
        <f t="shared" ref="U9:U12" si="2">Q9*S9</f>
        <v>0.36931968588293612</v>
      </c>
    </row>
    <row r="10" spans="2:21" x14ac:dyDescent="0.35">
      <c r="B10" s="7" t="s">
        <v>211</v>
      </c>
      <c r="C10" s="7">
        <v>2</v>
      </c>
      <c r="D10" s="7" t="s">
        <v>392</v>
      </c>
      <c r="E10" s="5">
        <f>'Food Prices'!J14</f>
        <v>5.665</v>
      </c>
      <c r="F10" s="5" t="str">
        <f t="shared" ref="F10:F12" si="3">D10</f>
        <v>Can</v>
      </c>
      <c r="G10" s="5">
        <f t="shared" si="0"/>
        <v>11.33</v>
      </c>
      <c r="I10" s="7" t="s">
        <v>211</v>
      </c>
      <c r="J10" s="7">
        <v>3</v>
      </c>
      <c r="K10" s="7" t="s">
        <v>392</v>
      </c>
      <c r="L10" s="5">
        <f>'Food Prices'!J14</f>
        <v>5.665</v>
      </c>
      <c r="M10" s="5" t="str">
        <f t="shared" ref="M10:M12" si="4">K10</f>
        <v>Can</v>
      </c>
      <c r="N10" s="5">
        <f t="shared" si="1"/>
        <v>16.995000000000001</v>
      </c>
      <c r="P10" s="7" t="s">
        <v>85</v>
      </c>
      <c r="Q10" s="7">
        <v>1.5</v>
      </c>
      <c r="R10" s="7" t="s">
        <v>17</v>
      </c>
      <c r="S10" s="5">
        <f>N31</f>
        <v>0.16019152679687035</v>
      </c>
      <c r="T10" s="5" t="str">
        <f t="shared" ref="T10:T12" si="5">R10</f>
        <v>Oz</v>
      </c>
      <c r="U10" s="5">
        <f t="shared" si="2"/>
        <v>0.24028729019530554</v>
      </c>
    </row>
    <row r="11" spans="2:21" x14ac:dyDescent="0.35">
      <c r="B11" s="7" t="s">
        <v>92</v>
      </c>
      <c r="C11" s="7">
        <v>1</v>
      </c>
      <c r="D11" s="7" t="s">
        <v>92</v>
      </c>
      <c r="E11" s="5">
        <f>'Food Prices'!P88</f>
        <v>0.2475</v>
      </c>
      <c r="F11" s="5" t="str">
        <f t="shared" si="3"/>
        <v>Onion</v>
      </c>
      <c r="G11" s="5">
        <f t="shared" si="0"/>
        <v>0.2475</v>
      </c>
      <c r="I11" s="7" t="s">
        <v>213</v>
      </c>
      <c r="J11" s="7">
        <v>0.375</v>
      </c>
      <c r="K11" s="7" t="s">
        <v>209</v>
      </c>
      <c r="L11" s="5">
        <f>E13</f>
        <v>1.1272949999999999</v>
      </c>
      <c r="M11" s="5" t="str">
        <f t="shared" si="4"/>
        <v>Cup</v>
      </c>
      <c r="N11" s="5">
        <f t="shared" si="1"/>
        <v>0.42273562499999995</v>
      </c>
      <c r="P11" s="7" t="s">
        <v>229</v>
      </c>
      <c r="Q11" s="7">
        <v>0.75</v>
      </c>
      <c r="R11" s="7" t="s">
        <v>17</v>
      </c>
      <c r="S11" s="5">
        <f>'Food Prices'!L26</f>
        <v>0.375</v>
      </c>
      <c r="T11" s="5" t="str">
        <f t="shared" si="5"/>
        <v>Oz</v>
      </c>
      <c r="U11" s="5">
        <f t="shared" si="2"/>
        <v>0.28125</v>
      </c>
    </row>
    <row r="12" spans="2:21" x14ac:dyDescent="0.35">
      <c r="B12" s="7" t="s">
        <v>212</v>
      </c>
      <c r="C12" s="7">
        <v>8</v>
      </c>
      <c r="D12" s="7" t="s">
        <v>17</v>
      </c>
      <c r="E12" s="5">
        <f>'Food Prices'!L81</f>
        <v>0.15319098598213757</v>
      </c>
      <c r="F12" s="5" t="str">
        <f t="shared" si="3"/>
        <v>Oz</v>
      </c>
      <c r="G12" s="5">
        <f t="shared" si="0"/>
        <v>1.2255278878571005</v>
      </c>
      <c r="I12" s="7" t="s">
        <v>214</v>
      </c>
      <c r="J12" s="7">
        <v>0.125</v>
      </c>
      <c r="K12" s="7" t="s">
        <v>209</v>
      </c>
      <c r="L12" s="5">
        <f>E14</f>
        <v>0.21196874999999998</v>
      </c>
      <c r="M12" s="5" t="str">
        <f t="shared" si="4"/>
        <v>Cup</v>
      </c>
      <c r="N12" s="5">
        <f t="shared" si="1"/>
        <v>2.6496093749999998E-2</v>
      </c>
      <c r="P12" s="7" t="s">
        <v>302</v>
      </c>
      <c r="Q12" s="7">
        <v>42.5</v>
      </c>
      <c r="R12" s="7" t="s">
        <v>481</v>
      </c>
      <c r="S12" s="5">
        <f>'Paper Product Prices'!H27</f>
        <v>2.1658333333333334E-3</v>
      </c>
      <c r="T12" s="5" t="str">
        <f t="shared" si="5"/>
        <v>Inches</v>
      </c>
      <c r="U12" s="5">
        <f t="shared" si="2"/>
        <v>9.2047916666666674E-2</v>
      </c>
    </row>
    <row r="13" spans="2:21" x14ac:dyDescent="0.35">
      <c r="B13" s="7" t="s">
        <v>213</v>
      </c>
      <c r="C13" s="7">
        <v>0.25</v>
      </c>
      <c r="D13" s="7" t="s">
        <v>209</v>
      </c>
      <c r="E13" s="5">
        <f>'Food Prices'!P112</f>
        <v>1.1272949999999999</v>
      </c>
      <c r="F13" s="5" t="str">
        <f>D13</f>
        <v>Cup</v>
      </c>
      <c r="G13" s="5">
        <f>C13*E13</f>
        <v>0.28182374999999998</v>
      </c>
      <c r="I13" s="7" t="s">
        <v>215</v>
      </c>
      <c r="J13" s="7">
        <v>0.25</v>
      </c>
      <c r="K13" s="7" t="s">
        <v>209</v>
      </c>
      <c r="L13" s="5">
        <f>E15</f>
        <v>0.91658125000000013</v>
      </c>
      <c r="M13" s="5" t="str">
        <f>K13</f>
        <v>Cup</v>
      </c>
      <c r="N13" s="5">
        <f>J13*L13</f>
        <v>0.22914531250000003</v>
      </c>
    </row>
    <row r="14" spans="2:21" ht="15.5" x14ac:dyDescent="0.35">
      <c r="B14" s="7" t="s">
        <v>214</v>
      </c>
      <c r="C14" s="7">
        <v>0.25</v>
      </c>
      <c r="D14" s="7" t="s">
        <v>209</v>
      </c>
      <c r="E14" s="5">
        <f>'Food Prices'!P105</f>
        <v>0.21196874999999998</v>
      </c>
      <c r="F14" s="5" t="str">
        <f>D14</f>
        <v>Cup</v>
      </c>
      <c r="G14" s="5">
        <f>C14*E14</f>
        <v>5.2992187499999996E-2</v>
      </c>
      <c r="I14" s="7" t="s">
        <v>216</v>
      </c>
      <c r="J14" s="7">
        <v>0.5</v>
      </c>
      <c r="K14" s="7" t="s">
        <v>209</v>
      </c>
      <c r="L14" s="5">
        <f>E16</f>
        <v>0.152146</v>
      </c>
      <c r="M14" s="5" t="str">
        <f>K14</f>
        <v>Cup</v>
      </c>
      <c r="N14" s="5">
        <f>J14*L14</f>
        <v>7.6073000000000002E-2</v>
      </c>
      <c r="P14" s="119" t="s">
        <v>153</v>
      </c>
      <c r="Q14" s="120"/>
      <c r="R14" s="121"/>
      <c r="S14" s="122" t="s">
        <v>304</v>
      </c>
      <c r="T14" s="123"/>
      <c r="U14" s="30">
        <f>SUM(U20:U33)</f>
        <v>36.384666311371582</v>
      </c>
    </row>
    <row r="15" spans="2:21" x14ac:dyDescent="0.35">
      <c r="B15" s="7" t="s">
        <v>215</v>
      </c>
      <c r="C15" s="7">
        <v>0.25</v>
      </c>
      <c r="D15" s="7" t="s">
        <v>209</v>
      </c>
      <c r="E15" s="5">
        <f>'Food Prices'!P102</f>
        <v>0.91658125000000013</v>
      </c>
      <c r="F15" s="5" t="str">
        <f>D15</f>
        <v>Cup</v>
      </c>
      <c r="G15" s="5">
        <f>C15*E15</f>
        <v>0.22914531250000003</v>
      </c>
      <c r="I15" s="7" t="s">
        <v>217</v>
      </c>
      <c r="J15" s="7">
        <v>2</v>
      </c>
      <c r="K15" s="7" t="s">
        <v>209</v>
      </c>
      <c r="L15" s="5">
        <f>E17</f>
        <v>0.23057250000000001</v>
      </c>
      <c r="M15" s="5" t="str">
        <f>K15</f>
        <v>Cup</v>
      </c>
      <c r="N15" s="5">
        <f>J15*L15</f>
        <v>0.46114500000000003</v>
      </c>
      <c r="P15" s="9"/>
      <c r="S15" s="51" t="s">
        <v>218</v>
      </c>
      <c r="T15" s="5">
        <v>272</v>
      </c>
      <c r="U15" s="5" t="s">
        <v>219</v>
      </c>
    </row>
    <row r="16" spans="2:21" ht="15.5" x14ac:dyDescent="0.35">
      <c r="B16" s="7" t="s">
        <v>216</v>
      </c>
      <c r="C16" s="7">
        <v>0.25</v>
      </c>
      <c r="D16" s="7" t="s">
        <v>209</v>
      </c>
      <c r="E16" s="5">
        <f>'Food Prices'!P118</f>
        <v>0.152146</v>
      </c>
      <c r="F16" s="5" t="str">
        <f>D16</f>
        <v>Cup</v>
      </c>
      <c r="G16" s="5">
        <f>C16*E16</f>
        <v>3.8036500000000001E-2</v>
      </c>
      <c r="P16" s="50"/>
      <c r="S16" s="122" t="s">
        <v>221</v>
      </c>
      <c r="T16" s="123"/>
      <c r="U16" s="53">
        <f>U14/T15</f>
        <v>0.13376715555651317</v>
      </c>
    </row>
    <row r="17" spans="2:21" ht="15.5" x14ac:dyDescent="0.35">
      <c r="B17" s="7" t="s">
        <v>217</v>
      </c>
      <c r="C17" s="7">
        <v>0.75</v>
      </c>
      <c r="D17" s="7" t="s">
        <v>209</v>
      </c>
      <c r="E17" s="5">
        <f>'Food Prices'!P113</f>
        <v>0.23057250000000001</v>
      </c>
      <c r="F17" s="5" t="str">
        <f>D17</f>
        <v>Cup</v>
      </c>
      <c r="G17" s="5">
        <f>C17*E17</f>
        <v>0.172929375</v>
      </c>
      <c r="I17" s="119" t="s">
        <v>61</v>
      </c>
      <c r="J17" s="120"/>
      <c r="K17" s="121"/>
      <c r="L17" s="122" t="s">
        <v>304</v>
      </c>
      <c r="M17" s="123"/>
      <c r="N17" s="30">
        <f>SUM(N23:N27)</f>
        <v>39.886526075357104</v>
      </c>
      <c r="P17" s="50"/>
      <c r="S17" s="127"/>
      <c r="T17" s="127"/>
      <c r="U17" s="52"/>
    </row>
    <row r="18" spans="2:21" x14ac:dyDescent="0.35">
      <c r="I18" s="9"/>
      <c r="L18" s="51" t="s">
        <v>218</v>
      </c>
      <c r="M18" s="5">
        <v>1188</v>
      </c>
      <c r="N18" s="5" t="s">
        <v>219</v>
      </c>
      <c r="P18" s="10"/>
      <c r="Q18" s="124" t="s">
        <v>13</v>
      </c>
      <c r="R18" s="125"/>
      <c r="S18" s="126" t="s">
        <v>14</v>
      </c>
      <c r="T18" s="126"/>
      <c r="U18" s="5" t="s">
        <v>6</v>
      </c>
    </row>
    <row r="19" spans="2:21" ht="15.5" x14ac:dyDescent="0.35">
      <c r="B19" s="119" t="s">
        <v>295</v>
      </c>
      <c r="C19" s="120"/>
      <c r="D19" s="121"/>
      <c r="E19" s="122" t="s">
        <v>304</v>
      </c>
      <c r="F19" s="123"/>
      <c r="G19" s="30">
        <f>SUM(G25:G34)</f>
        <v>11.986166584412635</v>
      </c>
      <c r="I19" s="50"/>
      <c r="L19" s="122" t="s">
        <v>221</v>
      </c>
      <c r="M19" s="123"/>
      <c r="N19" s="53">
        <f>N17/M18</f>
        <v>3.3574516898448738E-2</v>
      </c>
      <c r="P19" s="5" t="s">
        <v>10</v>
      </c>
      <c r="Q19" s="5" t="s">
        <v>2</v>
      </c>
      <c r="R19" s="5" t="s">
        <v>1</v>
      </c>
      <c r="S19" s="5" t="s">
        <v>11</v>
      </c>
      <c r="T19" s="5" t="s">
        <v>1</v>
      </c>
      <c r="U19" s="5" t="s">
        <v>15</v>
      </c>
    </row>
    <row r="20" spans="2:21" x14ac:dyDescent="0.35">
      <c r="B20" s="9"/>
      <c r="E20" s="51" t="s">
        <v>218</v>
      </c>
      <c r="F20" s="5">
        <v>18</v>
      </c>
      <c r="G20" s="5" t="s">
        <v>296</v>
      </c>
      <c r="I20" s="50"/>
      <c r="L20" s="127"/>
      <c r="M20" s="127"/>
      <c r="N20" s="52"/>
      <c r="P20" s="7" t="s">
        <v>313</v>
      </c>
      <c r="Q20" s="7">
        <v>1.5</v>
      </c>
      <c r="R20" s="7" t="s">
        <v>17</v>
      </c>
      <c r="S20" s="5">
        <f>'Food Prices'!J99</f>
        <v>1.2949999999999999</v>
      </c>
      <c r="T20" s="5" t="str">
        <f>R20</f>
        <v>Oz</v>
      </c>
      <c r="U20" s="5">
        <f t="shared" ref="U20:U23" si="6">Q20*S20</f>
        <v>1.9424999999999999</v>
      </c>
    </row>
    <row r="21" spans="2:21" ht="15.5" x14ac:dyDescent="0.35">
      <c r="B21" s="50"/>
      <c r="E21" s="122" t="s">
        <v>297</v>
      </c>
      <c r="F21" s="123"/>
      <c r="G21" s="30">
        <f>G19/F20</f>
        <v>0.66589814357847965</v>
      </c>
      <c r="I21" s="10"/>
      <c r="J21" s="124" t="s">
        <v>13</v>
      </c>
      <c r="K21" s="125"/>
      <c r="L21" s="126" t="s">
        <v>14</v>
      </c>
      <c r="M21" s="126"/>
      <c r="N21" s="5" t="s">
        <v>6</v>
      </c>
      <c r="P21" s="7" t="s">
        <v>314</v>
      </c>
      <c r="Q21" s="7">
        <v>1</v>
      </c>
      <c r="R21" s="7" t="s">
        <v>319</v>
      </c>
      <c r="S21" s="5">
        <f>'Food Prices'!H19</f>
        <v>1.59</v>
      </c>
      <c r="T21" s="5" t="str">
        <f t="shared" ref="T21:T33" si="7">R21</f>
        <v>Qt</v>
      </c>
      <c r="U21" s="5">
        <f t="shared" si="6"/>
        <v>1.59</v>
      </c>
    </row>
    <row r="22" spans="2:21" x14ac:dyDescent="0.35">
      <c r="B22" s="50"/>
      <c r="E22" s="127"/>
      <c r="F22" s="127"/>
      <c r="G22" s="52"/>
      <c r="I22" s="5" t="s">
        <v>10</v>
      </c>
      <c r="J22" s="5" t="s">
        <v>2</v>
      </c>
      <c r="K22" s="5" t="s">
        <v>1</v>
      </c>
      <c r="L22" s="5" t="s">
        <v>11</v>
      </c>
      <c r="M22" s="5" t="s">
        <v>1</v>
      </c>
      <c r="N22" s="5" t="s">
        <v>15</v>
      </c>
      <c r="P22" s="7" t="s">
        <v>315</v>
      </c>
      <c r="Q22" s="7">
        <v>0.75</v>
      </c>
      <c r="R22" s="7" t="s">
        <v>209</v>
      </c>
      <c r="S22" s="5">
        <f>'Food Prices'!P87</f>
        <v>0.49400000000000005</v>
      </c>
      <c r="T22" s="5" t="s">
        <v>437</v>
      </c>
      <c r="U22" s="5">
        <f>S22*5</f>
        <v>2.4700000000000002</v>
      </c>
    </row>
    <row r="23" spans="2:21" x14ac:dyDescent="0.35">
      <c r="B23" s="10"/>
      <c r="C23" s="124" t="s">
        <v>13</v>
      </c>
      <c r="D23" s="125"/>
      <c r="E23" s="126" t="s">
        <v>14</v>
      </c>
      <c r="F23" s="126"/>
      <c r="G23" s="5" t="s">
        <v>6</v>
      </c>
      <c r="I23" s="7" t="s">
        <v>275</v>
      </c>
      <c r="J23" s="7">
        <v>756</v>
      </c>
      <c r="K23" s="7" t="s">
        <v>17</v>
      </c>
      <c r="L23" s="5">
        <f>'Food Prices'!L108</f>
        <v>0.05</v>
      </c>
      <c r="M23" s="5" t="str">
        <f>K23</f>
        <v>Oz</v>
      </c>
      <c r="N23" s="5">
        <f t="shared" ref="N23:N26" si="8">J23*L23</f>
        <v>37.800000000000004</v>
      </c>
      <c r="P23" s="7" t="s">
        <v>285</v>
      </c>
      <c r="Q23" s="7">
        <v>0.25</v>
      </c>
      <c r="R23" s="7" t="s">
        <v>209</v>
      </c>
      <c r="S23" s="5">
        <f>'Food Prices'!L80</f>
        <v>1.85546875E-2</v>
      </c>
      <c r="T23" s="5" t="str">
        <f t="shared" si="7"/>
        <v>Cup</v>
      </c>
      <c r="U23" s="5">
        <f t="shared" si="6"/>
        <v>4.638671875E-3</v>
      </c>
    </row>
    <row r="24" spans="2:21" x14ac:dyDescent="0.35">
      <c r="B24" s="5" t="s">
        <v>10</v>
      </c>
      <c r="C24" s="5" t="s">
        <v>2</v>
      </c>
      <c r="D24" s="5" t="s">
        <v>1</v>
      </c>
      <c r="E24" s="5" t="s">
        <v>11</v>
      </c>
      <c r="F24" s="5" t="s">
        <v>1</v>
      </c>
      <c r="G24" s="5" t="s">
        <v>15</v>
      </c>
      <c r="I24" s="7" t="s">
        <v>303</v>
      </c>
      <c r="J24" s="7">
        <v>4</v>
      </c>
      <c r="K24" s="7" t="s">
        <v>17</v>
      </c>
      <c r="L24" s="5">
        <f>'Food Prices'!L77</f>
        <v>0.155596875</v>
      </c>
      <c r="M24" s="5" t="str">
        <f t="shared" ref="M24:M26" si="9">K24</f>
        <v>Oz</v>
      </c>
      <c r="N24" s="5">
        <f t="shared" si="8"/>
        <v>0.62238749999999998</v>
      </c>
      <c r="P24" s="7" t="s">
        <v>215</v>
      </c>
      <c r="Q24" s="7">
        <v>0.125</v>
      </c>
      <c r="R24" s="7" t="s">
        <v>209</v>
      </c>
      <c r="S24" s="5">
        <f>E15</f>
        <v>0.91658125000000013</v>
      </c>
      <c r="T24" s="5" t="str">
        <f t="shared" si="7"/>
        <v>Cup</v>
      </c>
      <c r="U24" s="5">
        <f>Q24*S24</f>
        <v>0.11457265625000002</v>
      </c>
    </row>
    <row r="25" spans="2:21" x14ac:dyDescent="0.35">
      <c r="B25" s="7" t="s">
        <v>98</v>
      </c>
      <c r="C25" s="7">
        <v>3</v>
      </c>
      <c r="D25" s="7" t="s">
        <v>37</v>
      </c>
      <c r="E25" s="5">
        <f>'Food Prices'!J63</f>
        <v>3.1380753138075312</v>
      </c>
      <c r="F25" s="5" t="str">
        <f>D25</f>
        <v>Lb</v>
      </c>
      <c r="G25" s="5">
        <f t="shared" ref="G25:G28" si="10">C25*E25</f>
        <v>9.4142259414225933</v>
      </c>
      <c r="I25" s="7" t="s">
        <v>212</v>
      </c>
      <c r="J25" s="7">
        <v>8</v>
      </c>
      <c r="K25" s="7" t="s">
        <v>17</v>
      </c>
      <c r="L25" s="5">
        <f>'Food Prices'!L81</f>
        <v>0.15319098598213757</v>
      </c>
      <c r="M25" s="5" t="str">
        <f t="shared" si="9"/>
        <v>Oz</v>
      </c>
      <c r="N25" s="5">
        <f t="shared" si="8"/>
        <v>1.2255278878571005</v>
      </c>
      <c r="P25" s="7" t="s">
        <v>316</v>
      </c>
      <c r="Q25" s="7">
        <v>0.25</v>
      </c>
      <c r="R25" s="7" t="s">
        <v>209</v>
      </c>
      <c r="S25" s="5">
        <f>'Food Prices'!P106</f>
        <v>8.1724499999999995</v>
      </c>
      <c r="T25" s="5" t="str">
        <f t="shared" si="7"/>
        <v>Cup</v>
      </c>
      <c r="U25" s="5">
        <f>Q25*S25</f>
        <v>2.0431124999999999</v>
      </c>
    </row>
    <row r="26" spans="2:21" x14ac:dyDescent="0.35">
      <c r="B26" s="7" t="s">
        <v>102</v>
      </c>
      <c r="C26" s="7">
        <v>8</v>
      </c>
      <c r="D26" s="7" t="s">
        <v>17</v>
      </c>
      <c r="E26" s="5">
        <f>G5</f>
        <v>4.7565978811255329E-2</v>
      </c>
      <c r="F26" s="5" t="str">
        <f t="shared" ref="F26:F28" si="11">D26</f>
        <v>Oz</v>
      </c>
      <c r="G26" s="5">
        <f t="shared" si="10"/>
        <v>0.38052783049004263</v>
      </c>
      <c r="I26" s="7" t="s">
        <v>216</v>
      </c>
      <c r="J26" s="7">
        <v>1</v>
      </c>
      <c r="K26" s="7" t="s">
        <v>209</v>
      </c>
      <c r="L26" s="5">
        <f>L14</f>
        <v>0.152146</v>
      </c>
      <c r="M26" s="5" t="str">
        <f t="shared" si="9"/>
        <v>Cup</v>
      </c>
      <c r="N26" s="5">
        <f t="shared" si="8"/>
        <v>0.152146</v>
      </c>
      <c r="P26" s="7" t="s">
        <v>254</v>
      </c>
      <c r="Q26" s="7">
        <v>0.5</v>
      </c>
      <c r="R26" s="7" t="s">
        <v>209</v>
      </c>
      <c r="S26" s="5">
        <f>'Food Prices'!J115</f>
        <v>0.48523636363636358</v>
      </c>
      <c r="T26" s="5" t="str">
        <f t="shared" si="7"/>
        <v>Cup</v>
      </c>
      <c r="U26" s="5">
        <f>Q26*S26</f>
        <v>0.24261818181818179</v>
      </c>
    </row>
    <row r="27" spans="2:21" x14ac:dyDescent="0.35">
      <c r="B27" s="7" t="s">
        <v>282</v>
      </c>
      <c r="C27" s="7">
        <v>6</v>
      </c>
      <c r="D27" s="7" t="s">
        <v>17</v>
      </c>
      <c r="E27" s="5">
        <f>'Food Prices'!J72</f>
        <v>8.2916666666666666E-2</v>
      </c>
      <c r="F27" s="5" t="str">
        <f t="shared" si="11"/>
        <v>Oz</v>
      </c>
      <c r="G27" s="5">
        <f t="shared" si="10"/>
        <v>0.4975</v>
      </c>
      <c r="I27" s="7" t="s">
        <v>217</v>
      </c>
      <c r="J27" s="95">
        <v>0.375</v>
      </c>
      <c r="K27" s="7" t="s">
        <v>209</v>
      </c>
      <c r="L27" s="5">
        <f>L15</f>
        <v>0.23057250000000001</v>
      </c>
      <c r="M27" s="5" t="str">
        <f>K27</f>
        <v>Cup</v>
      </c>
      <c r="N27" s="5">
        <f>J27*L27</f>
        <v>8.6464687499999998E-2</v>
      </c>
      <c r="P27" s="7" t="s">
        <v>317</v>
      </c>
      <c r="Q27" s="7">
        <v>6.25E-2</v>
      </c>
      <c r="R27" s="7" t="s">
        <v>209</v>
      </c>
      <c r="S27" s="5">
        <f>E13</f>
        <v>1.1272949999999999</v>
      </c>
      <c r="T27" s="5" t="str">
        <f t="shared" si="7"/>
        <v>Cup</v>
      </c>
      <c r="U27" s="5">
        <f>Q27*S27</f>
        <v>7.0455937499999996E-2</v>
      </c>
    </row>
    <row r="28" spans="2:21" x14ac:dyDescent="0.35">
      <c r="B28" s="7" t="s">
        <v>261</v>
      </c>
      <c r="C28" s="7">
        <v>1.5</v>
      </c>
      <c r="D28" s="7" t="s">
        <v>298</v>
      </c>
      <c r="E28" s="5">
        <f>'Food Prices'!J101</f>
        <v>0.16125</v>
      </c>
      <c r="F28" s="5" t="str">
        <f t="shared" si="11"/>
        <v>Pack</v>
      </c>
      <c r="G28" s="5">
        <f t="shared" si="10"/>
        <v>0.24187500000000001</v>
      </c>
      <c r="P28" s="7" t="s">
        <v>259</v>
      </c>
      <c r="Q28" s="7">
        <v>0.25</v>
      </c>
      <c r="R28" s="7" t="s">
        <v>209</v>
      </c>
      <c r="S28" s="5">
        <f>E17</f>
        <v>0.23057250000000001</v>
      </c>
      <c r="T28" s="5" t="str">
        <f t="shared" si="7"/>
        <v>Cup</v>
      </c>
      <c r="U28" s="5">
        <f t="shared" ref="U28:U33" si="12">Q28*S28</f>
        <v>5.7643125000000003E-2</v>
      </c>
    </row>
    <row r="29" spans="2:21" ht="15.5" x14ac:dyDescent="0.35">
      <c r="B29" s="7" t="s">
        <v>104</v>
      </c>
      <c r="C29" s="7">
        <v>2.375</v>
      </c>
      <c r="D29" s="7" t="s">
        <v>17</v>
      </c>
      <c r="E29" s="5">
        <f>'Food Prices'!L23</f>
        <v>0.52083333333333337</v>
      </c>
      <c r="F29" s="5" t="str">
        <f t="shared" ref="F29:F34" si="13">D29</f>
        <v>Oz</v>
      </c>
      <c r="G29" s="5">
        <f t="shared" ref="G29:G34" si="14">C29*E29</f>
        <v>1.2369791666666667</v>
      </c>
      <c r="I29" s="119" t="s">
        <v>85</v>
      </c>
      <c r="J29" s="120"/>
      <c r="K29" s="121"/>
      <c r="L29" s="122" t="s">
        <v>304</v>
      </c>
      <c r="M29" s="123"/>
      <c r="N29" s="30">
        <f>SUM(N35:N37)</f>
        <v>5.1261288574998511</v>
      </c>
      <c r="P29" s="7" t="s">
        <v>216</v>
      </c>
      <c r="Q29" s="7">
        <v>9.375E-2</v>
      </c>
      <c r="R29" s="7" t="s">
        <v>209</v>
      </c>
      <c r="S29" s="5">
        <f>E16</f>
        <v>0.152146</v>
      </c>
      <c r="T29" s="5" t="str">
        <f t="shared" si="7"/>
        <v>Cup</v>
      </c>
      <c r="U29" s="5">
        <f t="shared" si="12"/>
        <v>1.42636875E-2</v>
      </c>
    </row>
    <row r="30" spans="2:21" x14ac:dyDescent="0.35">
      <c r="B30" s="7" t="s">
        <v>213</v>
      </c>
      <c r="C30" s="7">
        <v>9.375E-2</v>
      </c>
      <c r="D30" s="7" t="s">
        <v>209</v>
      </c>
      <c r="E30" s="5">
        <f>'Food Prices'!P112</f>
        <v>1.1272949999999999</v>
      </c>
      <c r="F30" s="5" t="str">
        <f t="shared" si="13"/>
        <v>Cup</v>
      </c>
      <c r="G30" s="5">
        <f t="shared" si="14"/>
        <v>0.10568390624999999</v>
      </c>
      <c r="I30" s="9"/>
      <c r="L30" s="51" t="s">
        <v>218</v>
      </c>
      <c r="M30" s="5">
        <v>32</v>
      </c>
      <c r="N30" s="5" t="s">
        <v>219</v>
      </c>
      <c r="P30" s="7" t="s">
        <v>212</v>
      </c>
      <c r="Q30" s="7">
        <v>32</v>
      </c>
      <c r="R30" s="7" t="s">
        <v>416</v>
      </c>
      <c r="S30" s="5">
        <f>'Food Prices'!L81</f>
        <v>0.15319098598213757</v>
      </c>
      <c r="T30" s="5" t="str">
        <f t="shared" si="7"/>
        <v>Fluid Oz</v>
      </c>
      <c r="U30" s="5">
        <f t="shared" si="12"/>
        <v>4.9021115514284022</v>
      </c>
    </row>
    <row r="31" spans="2:21" ht="15.5" x14ac:dyDescent="0.35">
      <c r="B31" s="7" t="s">
        <v>256</v>
      </c>
      <c r="C31" s="7">
        <v>9.375E-2</v>
      </c>
      <c r="D31" s="7" t="s">
        <v>209</v>
      </c>
      <c r="E31" s="5">
        <f>'Food Prices'!P107</f>
        <v>0.10790833333333334</v>
      </c>
      <c r="F31" s="5" t="str">
        <f t="shared" si="13"/>
        <v>Cup</v>
      </c>
      <c r="G31" s="5">
        <f t="shared" si="14"/>
        <v>1.0116406250000001E-2</v>
      </c>
      <c r="I31" s="50"/>
      <c r="L31" s="122" t="s">
        <v>221</v>
      </c>
      <c r="M31" s="123"/>
      <c r="N31" s="53">
        <f>N29/M30</f>
        <v>0.16019152679687035</v>
      </c>
      <c r="P31" s="7" t="s">
        <v>318</v>
      </c>
      <c r="Q31" s="7">
        <v>6</v>
      </c>
      <c r="R31" s="7" t="s">
        <v>17</v>
      </c>
      <c r="S31" s="5">
        <f>'Food Prices'!J16</f>
        <v>0.22900000000000001</v>
      </c>
      <c r="T31" s="5" t="str">
        <f t="shared" si="7"/>
        <v>Oz</v>
      </c>
      <c r="U31" s="5">
        <f t="shared" si="12"/>
        <v>1.3740000000000001</v>
      </c>
    </row>
    <row r="32" spans="2:21" x14ac:dyDescent="0.35">
      <c r="B32" s="7" t="s">
        <v>214</v>
      </c>
      <c r="C32" s="7">
        <v>3.125E-2</v>
      </c>
      <c r="D32" s="7" t="s">
        <v>209</v>
      </c>
      <c r="E32" s="5">
        <f>'Food Prices'!P105</f>
        <v>0.21196874999999998</v>
      </c>
      <c r="F32" s="5" t="str">
        <f t="shared" si="13"/>
        <v>Cup</v>
      </c>
      <c r="G32" s="5">
        <f t="shared" si="14"/>
        <v>6.6240234374999995E-3</v>
      </c>
      <c r="I32" s="50"/>
      <c r="L32" s="127"/>
      <c r="M32" s="127"/>
      <c r="N32" s="52"/>
      <c r="P32" s="7" t="s">
        <v>276</v>
      </c>
      <c r="Q32" s="7">
        <v>1.5</v>
      </c>
      <c r="R32" s="7" t="s">
        <v>320</v>
      </c>
      <c r="S32" s="5">
        <f>'Food Prices'!J37</f>
        <v>6.3724999999999996</v>
      </c>
      <c r="T32" s="5" t="str">
        <f t="shared" si="7"/>
        <v>Gal</v>
      </c>
      <c r="U32" s="5">
        <f t="shared" si="12"/>
        <v>9.5587499999999999</v>
      </c>
    </row>
    <row r="33" spans="2:21" x14ac:dyDescent="0.35">
      <c r="B33" s="7" t="s">
        <v>215</v>
      </c>
      <c r="C33" s="7">
        <v>3.125E-2</v>
      </c>
      <c r="D33" s="7" t="s">
        <v>209</v>
      </c>
      <c r="E33" s="5">
        <f>'Food Prices'!P102</f>
        <v>0.91658125000000013</v>
      </c>
      <c r="F33" s="5" t="str">
        <f t="shared" si="13"/>
        <v>Cup</v>
      </c>
      <c r="G33" s="5">
        <f t="shared" si="14"/>
        <v>2.8643164062500004E-2</v>
      </c>
      <c r="I33" s="10"/>
      <c r="J33" s="124" t="s">
        <v>13</v>
      </c>
      <c r="K33" s="125"/>
      <c r="L33" s="126" t="s">
        <v>14</v>
      </c>
      <c r="M33" s="126"/>
      <c r="N33" s="5" t="s">
        <v>6</v>
      </c>
      <c r="P33" s="7" t="s">
        <v>229</v>
      </c>
      <c r="Q33" s="7">
        <v>2</v>
      </c>
      <c r="R33" s="7" t="s">
        <v>37</v>
      </c>
      <c r="S33" s="5">
        <f>'Food Prices'!J26</f>
        <v>6</v>
      </c>
      <c r="T33" s="5" t="str">
        <f t="shared" si="7"/>
        <v>Lb</v>
      </c>
      <c r="U33" s="5">
        <f t="shared" si="12"/>
        <v>12</v>
      </c>
    </row>
    <row r="34" spans="2:21" x14ac:dyDescent="0.35">
      <c r="B34" s="7" t="s">
        <v>257</v>
      </c>
      <c r="C34" s="7">
        <v>3.125E-2</v>
      </c>
      <c r="D34" s="7" t="s">
        <v>209</v>
      </c>
      <c r="E34" s="5">
        <f>'Food Prices'!P116</f>
        <v>2.0477166666666666</v>
      </c>
      <c r="F34" s="5" t="str">
        <f t="shared" si="13"/>
        <v>Cup</v>
      </c>
      <c r="G34" s="5">
        <f t="shared" si="14"/>
        <v>6.3991145833333332E-2</v>
      </c>
      <c r="I34" s="5" t="s">
        <v>10</v>
      </c>
      <c r="J34" s="5" t="s">
        <v>2</v>
      </c>
      <c r="K34" s="5" t="s">
        <v>1</v>
      </c>
      <c r="L34" s="5" t="s">
        <v>11</v>
      </c>
      <c r="M34" s="5" t="s">
        <v>1</v>
      </c>
      <c r="N34" s="5" t="s">
        <v>15</v>
      </c>
    </row>
    <row r="35" spans="2:21" ht="15.5" x14ac:dyDescent="0.35">
      <c r="I35" s="7" t="s">
        <v>212</v>
      </c>
      <c r="J35" s="7">
        <v>28</v>
      </c>
      <c r="K35" s="7" t="s">
        <v>17</v>
      </c>
      <c r="L35" s="5">
        <f>'Food Prices'!L81</f>
        <v>0.15319098598213757</v>
      </c>
      <c r="M35" s="5" t="str">
        <f>K35</f>
        <v>Oz</v>
      </c>
      <c r="N35" s="5">
        <f t="shared" ref="N35:N37" si="15">J35*L35</f>
        <v>4.2893476074998516</v>
      </c>
      <c r="P35" s="119" t="s">
        <v>149</v>
      </c>
      <c r="Q35" s="120"/>
      <c r="R35" s="121"/>
      <c r="S35" s="122" t="s">
        <v>304</v>
      </c>
      <c r="T35" s="123"/>
      <c r="U35" s="30">
        <f>SUM(U41:U45)</f>
        <v>9.0146960452911813</v>
      </c>
    </row>
    <row r="36" spans="2:21" ht="15.5" x14ac:dyDescent="0.35">
      <c r="B36" s="119" t="s">
        <v>332</v>
      </c>
      <c r="C36" s="120"/>
      <c r="D36" s="121"/>
      <c r="E36" s="122" t="s">
        <v>304</v>
      </c>
      <c r="F36" s="123"/>
      <c r="G36" s="30">
        <f>SUM(G42:G45)</f>
        <v>17.824328051241</v>
      </c>
      <c r="I36" s="7" t="s">
        <v>312</v>
      </c>
      <c r="J36" s="7">
        <v>0.5</v>
      </c>
      <c r="K36" s="7" t="s">
        <v>209</v>
      </c>
      <c r="L36" s="5">
        <f>'Food Prices'!L18*2</f>
        <v>1.37375</v>
      </c>
      <c r="M36" s="5" t="str">
        <f t="shared" ref="M36:M37" si="16">K36</f>
        <v>Cup</v>
      </c>
      <c r="N36" s="5">
        <f t="shared" si="15"/>
        <v>0.68687500000000001</v>
      </c>
      <c r="P36" s="9"/>
      <c r="S36" s="51" t="s">
        <v>218</v>
      </c>
      <c r="T36" s="5">
        <v>128</v>
      </c>
      <c r="U36" s="5" t="s">
        <v>219</v>
      </c>
    </row>
    <row r="37" spans="2:21" ht="15.5" x14ac:dyDescent="0.35">
      <c r="B37" s="9"/>
      <c r="E37" s="51" t="s">
        <v>218</v>
      </c>
      <c r="F37" s="5">
        <v>67.25</v>
      </c>
      <c r="G37" s="5" t="s">
        <v>17</v>
      </c>
      <c r="I37" s="7" t="s">
        <v>213</v>
      </c>
      <c r="J37" s="7">
        <v>0.75</v>
      </c>
      <c r="K37" s="7" t="s">
        <v>17</v>
      </c>
      <c r="L37" s="5">
        <f>'Food Prices'!L112</f>
        <v>0.199875</v>
      </c>
      <c r="M37" s="5" t="str">
        <f t="shared" si="16"/>
        <v>Oz</v>
      </c>
      <c r="N37" s="5">
        <f t="shared" si="15"/>
        <v>0.14990624999999999</v>
      </c>
      <c r="P37" s="50"/>
      <c r="S37" s="122" t="s">
        <v>221</v>
      </c>
      <c r="T37" s="123"/>
      <c r="U37" s="53">
        <f>U35/T36</f>
        <v>7.0427312853837354E-2</v>
      </c>
    </row>
    <row r="38" spans="2:21" ht="15.5" x14ac:dyDescent="0.35">
      <c r="B38" s="50"/>
      <c r="E38" s="122" t="s">
        <v>221</v>
      </c>
      <c r="F38" s="123"/>
      <c r="G38" s="30">
        <f>G36/F37</f>
        <v>0.2650457702786766</v>
      </c>
      <c r="P38" s="50"/>
      <c r="S38" s="127"/>
      <c r="T38" s="127"/>
      <c r="U38" s="52"/>
    </row>
    <row r="39" spans="2:21" ht="15.5" x14ac:dyDescent="0.35">
      <c r="B39" s="50"/>
      <c r="E39" s="127"/>
      <c r="F39" s="127"/>
      <c r="G39" s="52"/>
      <c r="I39" s="119" t="s">
        <v>56</v>
      </c>
      <c r="J39" s="120"/>
      <c r="K39" s="121"/>
      <c r="L39" s="122" t="s">
        <v>304</v>
      </c>
      <c r="M39" s="123"/>
      <c r="N39" s="30">
        <f>SUM(N45:N49)</f>
        <v>14.605130295454547</v>
      </c>
      <c r="P39" s="10"/>
      <c r="Q39" s="124" t="s">
        <v>13</v>
      </c>
      <c r="R39" s="125"/>
      <c r="S39" s="126" t="s">
        <v>14</v>
      </c>
      <c r="T39" s="126"/>
      <c r="U39" s="5" t="s">
        <v>6</v>
      </c>
    </row>
    <row r="40" spans="2:21" x14ac:dyDescent="0.35">
      <c r="B40" s="10"/>
      <c r="C40" s="124" t="s">
        <v>13</v>
      </c>
      <c r="D40" s="125"/>
      <c r="E40" s="126" t="s">
        <v>14</v>
      </c>
      <c r="F40" s="126"/>
      <c r="G40" s="5" t="s">
        <v>6</v>
      </c>
      <c r="I40" s="9"/>
      <c r="L40" s="51" t="s">
        <v>218</v>
      </c>
      <c r="M40" s="5">
        <v>100</v>
      </c>
      <c r="N40" s="5" t="s">
        <v>17</v>
      </c>
      <c r="P40" s="5" t="s">
        <v>10</v>
      </c>
      <c r="Q40" s="5" t="s">
        <v>2</v>
      </c>
      <c r="R40" s="5" t="s">
        <v>1</v>
      </c>
      <c r="S40" s="5" t="s">
        <v>11</v>
      </c>
      <c r="T40" s="5" t="s">
        <v>1</v>
      </c>
      <c r="U40" s="5" t="s">
        <v>15</v>
      </c>
    </row>
    <row r="41" spans="2:21" ht="15.5" x14ac:dyDescent="0.35">
      <c r="B41" s="5" t="s">
        <v>10</v>
      </c>
      <c r="C41" s="5" t="s">
        <v>2</v>
      </c>
      <c r="D41" s="5" t="s">
        <v>1</v>
      </c>
      <c r="E41" s="5" t="s">
        <v>11</v>
      </c>
      <c r="F41" s="5" t="s">
        <v>1</v>
      </c>
      <c r="G41" s="5" t="s">
        <v>15</v>
      </c>
      <c r="I41" s="50"/>
      <c r="L41" s="122" t="s">
        <v>221</v>
      </c>
      <c r="M41" s="123"/>
      <c r="N41" s="30">
        <f>N39/M40</f>
        <v>0.14605130295454546</v>
      </c>
      <c r="P41" s="7" t="s">
        <v>212</v>
      </c>
      <c r="Q41" s="7">
        <v>40</v>
      </c>
      <c r="R41" s="7" t="s">
        <v>416</v>
      </c>
      <c r="S41" s="5">
        <f>'Food Prices'!L81</f>
        <v>0.15319098598213757</v>
      </c>
      <c r="T41" s="5" t="str">
        <f>R41</f>
        <v>Fluid Oz</v>
      </c>
      <c r="U41" s="5">
        <f t="shared" ref="U41:U44" si="17">Q41*S41</f>
        <v>6.1276394392855025</v>
      </c>
    </row>
    <row r="42" spans="2:21" x14ac:dyDescent="0.35">
      <c r="B42" s="7" t="s">
        <v>332</v>
      </c>
      <c r="C42" s="7">
        <v>1</v>
      </c>
      <c r="D42" s="7" t="s">
        <v>392</v>
      </c>
      <c r="E42" s="5">
        <f>'Food Prices'!J54</f>
        <v>15.815</v>
      </c>
      <c r="F42" s="5" t="str">
        <f>D42</f>
        <v>Can</v>
      </c>
      <c r="G42" s="5">
        <f t="shared" ref="G42:G45" si="18">C42*E42</f>
        <v>15.815</v>
      </c>
      <c r="I42" s="50"/>
      <c r="L42" s="127"/>
      <c r="M42" s="127"/>
      <c r="N42" s="52"/>
      <c r="P42" s="7" t="s">
        <v>286</v>
      </c>
      <c r="Q42" s="7">
        <v>96</v>
      </c>
      <c r="R42" s="7" t="s">
        <v>416</v>
      </c>
      <c r="S42" s="5">
        <f>'Food Prices'!L82</f>
        <v>1.904296875E-2</v>
      </c>
      <c r="T42" s="5" t="str">
        <f t="shared" ref="T42:T44" si="19">R42</f>
        <v>Fluid Oz</v>
      </c>
      <c r="U42" s="5">
        <f t="shared" si="17"/>
        <v>1.828125</v>
      </c>
    </row>
    <row r="43" spans="2:21" x14ac:dyDescent="0.35">
      <c r="B43" s="7" t="s">
        <v>276</v>
      </c>
      <c r="C43" s="7">
        <v>0.28999999999999998</v>
      </c>
      <c r="D43" s="7" t="s">
        <v>320</v>
      </c>
      <c r="E43" s="5">
        <f>'Food Prices'!J37</f>
        <v>6.3724999999999996</v>
      </c>
      <c r="F43" s="5" t="str">
        <f t="shared" ref="F43:F45" si="20">D43</f>
        <v>Gal</v>
      </c>
      <c r="G43" s="5">
        <f t="shared" si="18"/>
        <v>1.8480249999999998</v>
      </c>
      <c r="I43" s="10"/>
      <c r="J43" s="124" t="s">
        <v>13</v>
      </c>
      <c r="K43" s="125"/>
      <c r="L43" s="126" t="s">
        <v>14</v>
      </c>
      <c r="M43" s="126"/>
      <c r="N43" s="5" t="s">
        <v>6</v>
      </c>
      <c r="P43" s="7" t="s">
        <v>255</v>
      </c>
      <c r="Q43" s="7">
        <v>0.25</v>
      </c>
      <c r="R43" s="7" t="s">
        <v>209</v>
      </c>
      <c r="S43" s="5">
        <f>'Food Prices'!P111</f>
        <v>0.52374218750000001</v>
      </c>
      <c r="T43" s="5" t="str">
        <f t="shared" si="19"/>
        <v>Cup</v>
      </c>
      <c r="U43" s="5">
        <f t="shared" si="17"/>
        <v>0.130935546875</v>
      </c>
    </row>
    <row r="44" spans="2:21" x14ac:dyDescent="0.35">
      <c r="B44" s="7" t="s">
        <v>215</v>
      </c>
      <c r="C44" s="7">
        <v>6.25E-2</v>
      </c>
      <c r="D44" s="7" t="s">
        <v>209</v>
      </c>
      <c r="E44" s="5">
        <f>'Food Prices'!P102</f>
        <v>0.91658125000000013</v>
      </c>
      <c r="F44" s="5" t="str">
        <f t="shared" si="20"/>
        <v>Cup</v>
      </c>
      <c r="G44" s="5">
        <f t="shared" si="18"/>
        <v>5.7286328125000008E-2</v>
      </c>
      <c r="I44" s="5" t="s">
        <v>10</v>
      </c>
      <c r="J44" s="5" t="s">
        <v>2</v>
      </c>
      <c r="K44" s="5" t="s">
        <v>1</v>
      </c>
      <c r="L44" s="5" t="s">
        <v>11</v>
      </c>
      <c r="M44" s="5" t="s">
        <v>1</v>
      </c>
      <c r="N44" s="5" t="s">
        <v>15</v>
      </c>
      <c r="P44" s="7" t="s">
        <v>257</v>
      </c>
      <c r="Q44" s="7">
        <v>0.25</v>
      </c>
      <c r="R44" s="7" t="s">
        <v>209</v>
      </c>
      <c r="S44" s="5">
        <f>'Food Prices'!P116</f>
        <v>2.0477166666666666</v>
      </c>
      <c r="T44" s="5" t="str">
        <f t="shared" si="19"/>
        <v>Cup</v>
      </c>
      <c r="U44" s="5">
        <f t="shared" si="17"/>
        <v>0.51192916666666666</v>
      </c>
    </row>
    <row r="45" spans="2:21" x14ac:dyDescent="0.35">
      <c r="B45" s="7" t="s">
        <v>262</v>
      </c>
      <c r="C45" s="7">
        <v>6.25E-2</v>
      </c>
      <c r="D45" s="7" t="s">
        <v>209</v>
      </c>
      <c r="E45" s="5">
        <f>'Food Prices'!L100</f>
        <v>1.6642675698560543</v>
      </c>
      <c r="F45" s="5" t="str">
        <f t="shared" si="20"/>
        <v>Cup</v>
      </c>
      <c r="G45" s="5">
        <f t="shared" si="18"/>
        <v>0.10401672311600339</v>
      </c>
      <c r="I45" s="7" t="s">
        <v>48</v>
      </c>
      <c r="J45" s="7">
        <v>1</v>
      </c>
      <c r="K45" s="7" t="s">
        <v>320</v>
      </c>
      <c r="L45" s="5">
        <f>'Food Prices'!J95</f>
        <v>13.1225</v>
      </c>
      <c r="M45" s="5" t="str">
        <f>K45</f>
        <v>Gal</v>
      </c>
      <c r="N45" s="5">
        <f t="shared" ref="N45:N48" si="21">J45*L45</f>
        <v>13.1225</v>
      </c>
      <c r="P45" s="7" t="s">
        <v>262</v>
      </c>
      <c r="Q45" s="7">
        <v>0.25</v>
      </c>
      <c r="R45" s="7" t="s">
        <v>209</v>
      </c>
      <c r="S45" s="5">
        <f>'Food Prices'!L100</f>
        <v>1.6642675698560543</v>
      </c>
      <c r="T45" s="5" t="str">
        <f>R45</f>
        <v>Cup</v>
      </c>
      <c r="U45" s="5">
        <f>Q45*S45</f>
        <v>0.41606689246401357</v>
      </c>
    </row>
    <row r="46" spans="2:21" x14ac:dyDescent="0.35">
      <c r="I46" s="7" t="s">
        <v>312</v>
      </c>
      <c r="J46" s="7">
        <v>1</v>
      </c>
      <c r="K46" s="7" t="s">
        <v>483</v>
      </c>
      <c r="L46" s="5">
        <f>'Food Prices'!L18</f>
        <v>0.68687500000000001</v>
      </c>
      <c r="M46" s="5" t="str">
        <f t="shared" ref="M46:M48" si="22">K46</f>
        <v>Stick</v>
      </c>
      <c r="N46" s="5">
        <f t="shared" si="21"/>
        <v>0.68687500000000001</v>
      </c>
    </row>
    <row r="47" spans="2:21" x14ac:dyDescent="0.35">
      <c r="I47" s="7" t="s">
        <v>473</v>
      </c>
      <c r="J47" s="7">
        <v>15</v>
      </c>
      <c r="K47" s="7" t="s">
        <v>17</v>
      </c>
      <c r="L47" s="5">
        <f>'Food Prices'!J103</f>
        <v>4.65625E-2</v>
      </c>
      <c r="M47" s="5" t="str">
        <f t="shared" si="22"/>
        <v>Oz</v>
      </c>
      <c r="N47" s="5">
        <f t="shared" si="21"/>
        <v>0.69843750000000004</v>
      </c>
    </row>
    <row r="48" spans="2:21" x14ac:dyDescent="0.35">
      <c r="I48" s="7" t="s">
        <v>254</v>
      </c>
      <c r="J48" s="7">
        <v>6</v>
      </c>
      <c r="K48" s="7" t="s">
        <v>482</v>
      </c>
      <c r="L48" s="5">
        <f>'Food Prices'!L115</f>
        <v>1.0109090909090908E-2</v>
      </c>
      <c r="M48" s="5" t="str">
        <f t="shared" si="22"/>
        <v>Tsp</v>
      </c>
      <c r="N48" s="5">
        <f t="shared" si="21"/>
        <v>6.0654545454545447E-2</v>
      </c>
    </row>
    <row r="49" spans="9:14" x14ac:dyDescent="0.35">
      <c r="I49" s="7" t="s">
        <v>215</v>
      </c>
      <c r="J49" s="7">
        <v>0.04</v>
      </c>
      <c r="K49" s="7" t="s">
        <v>209</v>
      </c>
      <c r="L49" s="5">
        <f>'Food Prices'!P102</f>
        <v>0.91658125000000013</v>
      </c>
      <c r="M49" s="5" t="str">
        <f t="shared" ref="M49" si="23">K49</f>
        <v>Cup</v>
      </c>
      <c r="N49" s="5">
        <f t="shared" ref="N49" si="24">J49*L49</f>
        <v>3.6663250000000008E-2</v>
      </c>
    </row>
  </sheetData>
  <mergeCells count="61">
    <mergeCell ref="I39:K39"/>
    <mergeCell ref="L39:M39"/>
    <mergeCell ref="L41:M41"/>
    <mergeCell ref="L42:M42"/>
    <mergeCell ref="J43:K43"/>
    <mergeCell ref="L43:M43"/>
    <mergeCell ref="B36:D36"/>
    <mergeCell ref="E36:F36"/>
    <mergeCell ref="E38:F38"/>
    <mergeCell ref="E39:F39"/>
    <mergeCell ref="C40:D40"/>
    <mergeCell ref="E40:F40"/>
    <mergeCell ref="P35:R35"/>
    <mergeCell ref="S35:T35"/>
    <mergeCell ref="S37:T37"/>
    <mergeCell ref="S38:T38"/>
    <mergeCell ref="Q39:R39"/>
    <mergeCell ref="S39:T39"/>
    <mergeCell ref="I29:K29"/>
    <mergeCell ref="L29:M29"/>
    <mergeCell ref="L31:M31"/>
    <mergeCell ref="L32:M32"/>
    <mergeCell ref="J33:K33"/>
    <mergeCell ref="L33:M33"/>
    <mergeCell ref="P14:R14"/>
    <mergeCell ref="S14:T14"/>
    <mergeCell ref="S16:T16"/>
    <mergeCell ref="S17:T17"/>
    <mergeCell ref="Q18:R18"/>
    <mergeCell ref="S18:T18"/>
    <mergeCell ref="I17:K17"/>
    <mergeCell ref="L17:M17"/>
    <mergeCell ref="L19:M19"/>
    <mergeCell ref="L20:M20"/>
    <mergeCell ref="J21:K21"/>
    <mergeCell ref="L21:M21"/>
    <mergeCell ref="P3:R3"/>
    <mergeCell ref="S3:T3"/>
    <mergeCell ref="S5:T5"/>
    <mergeCell ref="S6:T6"/>
    <mergeCell ref="Q7:R7"/>
    <mergeCell ref="S7:T7"/>
    <mergeCell ref="B19:D19"/>
    <mergeCell ref="E19:F19"/>
    <mergeCell ref="E21:F21"/>
    <mergeCell ref="E22:F22"/>
    <mergeCell ref="C23:D23"/>
    <mergeCell ref="E23:F23"/>
    <mergeCell ref="C1:O1"/>
    <mergeCell ref="B3:D3"/>
    <mergeCell ref="E3:F3"/>
    <mergeCell ref="C7:D7"/>
    <mergeCell ref="E7:F7"/>
    <mergeCell ref="E5:F5"/>
    <mergeCell ref="E6:F6"/>
    <mergeCell ref="I3:K3"/>
    <mergeCell ref="L3:M3"/>
    <mergeCell ref="L5:M5"/>
    <mergeCell ref="L6:M6"/>
    <mergeCell ref="J7:K7"/>
    <mergeCell ref="L7:M7"/>
  </mergeCells>
  <pageMargins left="0.25" right="0.25" top="0.75" bottom="0.75" header="0.3" footer="0.3"/>
  <pageSetup scale="61"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1BCAC-E5CF-46C9-AD1F-63C5A96E1D0A}">
  <sheetPr codeName="Sheet10">
    <pageSetUpPr fitToPage="1"/>
  </sheetPr>
  <dimension ref="B1:O49"/>
  <sheetViews>
    <sheetView showGridLines="0" zoomScaleNormal="100" workbookViewId="0">
      <selection activeCell="C1" sqref="C1:O1"/>
    </sheetView>
  </sheetViews>
  <sheetFormatPr defaultRowHeight="14.5" x14ac:dyDescent="0.35"/>
  <cols>
    <col min="1" max="1" width="3.08984375" customWidth="1"/>
    <col min="2" max="2" width="10.1796875" bestFit="1" customWidth="1"/>
    <col min="5" max="5" width="12.26953125" bestFit="1" customWidth="1"/>
    <col min="9" max="9" width="10.1796875" bestFit="1" customWidth="1"/>
    <col min="12" max="12" width="12.26953125" bestFit="1" customWidth="1"/>
  </cols>
  <sheetData>
    <row r="1" spans="2:15" ht="23.5" x14ac:dyDescent="0.55000000000000004">
      <c r="C1" s="118" t="s">
        <v>210</v>
      </c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3" spans="2:15" ht="15.5" x14ac:dyDescent="0.35">
      <c r="B3" s="128" t="s">
        <v>206</v>
      </c>
      <c r="C3" s="128"/>
      <c r="D3" s="128"/>
      <c r="E3" s="129" t="s">
        <v>7</v>
      </c>
      <c r="F3" s="129"/>
      <c r="G3" s="30">
        <f>SUM(G7:G9)</f>
        <v>0.13711195762251066</v>
      </c>
      <c r="I3" s="128" t="s">
        <v>305</v>
      </c>
      <c r="J3" s="128"/>
      <c r="K3" s="128"/>
      <c r="L3" s="129" t="s">
        <v>7</v>
      </c>
      <c r="M3" s="129"/>
      <c r="N3" s="30">
        <f>SUM(N7:N9)</f>
        <v>0.23005391524502131</v>
      </c>
    </row>
    <row r="4" spans="2:15" x14ac:dyDescent="0.35">
      <c r="B4" s="9"/>
      <c r="G4" s="8"/>
      <c r="I4" s="9"/>
      <c r="N4" s="8"/>
    </row>
    <row r="5" spans="2:15" x14ac:dyDescent="0.35">
      <c r="B5" s="10"/>
      <c r="C5" s="126" t="s">
        <v>13</v>
      </c>
      <c r="D5" s="126"/>
      <c r="E5" s="126" t="s">
        <v>14</v>
      </c>
      <c r="F5" s="126"/>
      <c r="G5" s="5" t="s">
        <v>6</v>
      </c>
      <c r="I5" s="10"/>
      <c r="J5" s="126" t="s">
        <v>13</v>
      </c>
      <c r="K5" s="126"/>
      <c r="L5" s="126" t="s">
        <v>14</v>
      </c>
      <c r="M5" s="126"/>
      <c r="N5" s="5" t="s">
        <v>6</v>
      </c>
    </row>
    <row r="6" spans="2:15" x14ac:dyDescent="0.35">
      <c r="B6" s="5" t="s">
        <v>10</v>
      </c>
      <c r="C6" s="5" t="s">
        <v>2</v>
      </c>
      <c r="D6" s="5" t="s">
        <v>1</v>
      </c>
      <c r="E6" s="5" t="s">
        <v>11</v>
      </c>
      <c r="F6" s="5" t="s">
        <v>1</v>
      </c>
      <c r="G6" s="5" t="s">
        <v>15</v>
      </c>
      <c r="I6" s="5" t="s">
        <v>10</v>
      </c>
      <c r="J6" s="5" t="s">
        <v>2</v>
      </c>
      <c r="K6" s="5" t="s">
        <v>1</v>
      </c>
      <c r="L6" s="5" t="s">
        <v>11</v>
      </c>
      <c r="M6" s="5" t="s">
        <v>1</v>
      </c>
      <c r="N6" s="5" t="s">
        <v>15</v>
      </c>
    </row>
    <row r="7" spans="2:15" x14ac:dyDescent="0.35">
      <c r="B7" s="7" t="s">
        <v>39</v>
      </c>
      <c r="C7" s="7">
        <v>2</v>
      </c>
      <c r="D7" s="7" t="s">
        <v>17</v>
      </c>
      <c r="E7" s="5">
        <f>Recipes!G5</f>
        <v>4.7565978811255329E-2</v>
      </c>
      <c r="F7" s="5" t="str">
        <f>D7</f>
        <v>Oz</v>
      </c>
      <c r="G7" s="5">
        <f>C7*E7</f>
        <v>9.5131957622510657E-2</v>
      </c>
      <c r="I7" s="7" t="s">
        <v>39</v>
      </c>
      <c r="J7" s="7">
        <v>4</v>
      </c>
      <c r="K7" s="7" t="s">
        <v>17</v>
      </c>
      <c r="L7" s="5">
        <f>Recipes!G5</f>
        <v>4.7565978811255329E-2</v>
      </c>
      <c r="M7" s="5" t="str">
        <f>K7</f>
        <v>Oz</v>
      </c>
      <c r="N7" s="5">
        <f>J7*L7</f>
        <v>0.19026391524502131</v>
      </c>
    </row>
    <row r="8" spans="2:15" x14ac:dyDescent="0.35">
      <c r="B8" s="7" t="s">
        <v>207</v>
      </c>
      <c r="C8" s="7">
        <v>1</v>
      </c>
      <c r="D8" s="7" t="s">
        <v>209</v>
      </c>
      <c r="E8" s="5">
        <f>'Paper Product Prices'!H24</f>
        <v>2.1489999999999999E-2</v>
      </c>
      <c r="F8" s="5" t="str">
        <f>D8</f>
        <v>Cup</v>
      </c>
      <c r="G8" s="5">
        <f>C8*E8</f>
        <v>2.1489999999999999E-2</v>
      </c>
      <c r="I8" s="7" t="s">
        <v>307</v>
      </c>
      <c r="J8" s="7">
        <v>1</v>
      </c>
      <c r="K8" s="7" t="s">
        <v>209</v>
      </c>
      <c r="L8" s="5">
        <f>'Paper Product Prices'!H13</f>
        <v>2.53E-2</v>
      </c>
      <c r="M8" s="5" t="str">
        <f>K8</f>
        <v>Cup</v>
      </c>
      <c r="N8" s="5">
        <f>J8*L8</f>
        <v>2.53E-2</v>
      </c>
    </row>
    <row r="9" spans="2:15" x14ac:dyDescent="0.35">
      <c r="B9" s="7" t="s">
        <v>208</v>
      </c>
      <c r="C9" s="7">
        <v>1</v>
      </c>
      <c r="D9" s="7" t="s">
        <v>25</v>
      </c>
      <c r="E9" s="5">
        <f>'Paper Product Prices'!H23</f>
        <v>2.0489999999999998E-2</v>
      </c>
      <c r="F9" s="5" t="str">
        <f>D9</f>
        <v>Lid</v>
      </c>
      <c r="G9" s="5">
        <f>C9*E9</f>
        <v>2.0489999999999998E-2</v>
      </c>
      <c r="I9" s="7" t="s">
        <v>309</v>
      </c>
      <c r="J9" s="7">
        <v>1</v>
      </c>
      <c r="K9" s="7" t="s">
        <v>25</v>
      </c>
      <c r="L9" s="5">
        <f>'Paper Product Prices'!H20</f>
        <v>1.4489999999999999E-2</v>
      </c>
      <c r="M9" s="5" t="str">
        <f>K9</f>
        <v>Lid</v>
      </c>
      <c r="N9" s="5">
        <f>J9*L9</f>
        <v>1.4489999999999999E-2</v>
      </c>
    </row>
    <row r="11" spans="2:15" ht="15.5" x14ac:dyDescent="0.35">
      <c r="B11" s="128" t="s">
        <v>337</v>
      </c>
      <c r="C11" s="128"/>
      <c r="D11" s="128"/>
      <c r="E11" s="129" t="s">
        <v>7</v>
      </c>
      <c r="F11" s="129"/>
      <c r="G11" s="30">
        <f>SUM(G15:G17)</f>
        <v>0.18283462570767472</v>
      </c>
      <c r="I11" s="128" t="s">
        <v>306</v>
      </c>
      <c r="J11" s="128"/>
      <c r="K11" s="128"/>
      <c r="L11" s="129" t="s">
        <v>7</v>
      </c>
      <c r="M11" s="129"/>
      <c r="N11" s="30">
        <f>SUM(N15:N17)</f>
        <v>0.32149925141534941</v>
      </c>
    </row>
    <row r="12" spans="2:15" x14ac:dyDescent="0.35">
      <c r="B12" s="9"/>
      <c r="G12" s="8"/>
      <c r="I12" s="9"/>
      <c r="N12" s="8"/>
    </row>
    <row r="13" spans="2:15" x14ac:dyDescent="0.35">
      <c r="B13" s="10"/>
      <c r="C13" s="126" t="s">
        <v>13</v>
      </c>
      <c r="D13" s="126"/>
      <c r="E13" s="126" t="s">
        <v>14</v>
      </c>
      <c r="F13" s="126"/>
      <c r="G13" s="5" t="s">
        <v>6</v>
      </c>
      <c r="I13" s="10"/>
      <c r="J13" s="126" t="s">
        <v>13</v>
      </c>
      <c r="K13" s="126"/>
      <c r="L13" s="126" t="s">
        <v>14</v>
      </c>
      <c r="M13" s="126"/>
      <c r="N13" s="5" t="s">
        <v>6</v>
      </c>
    </row>
    <row r="14" spans="2:15" x14ac:dyDescent="0.35">
      <c r="B14" s="5" t="s">
        <v>10</v>
      </c>
      <c r="C14" s="5" t="s">
        <v>2</v>
      </c>
      <c r="D14" s="5" t="s">
        <v>1</v>
      </c>
      <c r="E14" s="5" t="s">
        <v>11</v>
      </c>
      <c r="F14" s="5" t="s">
        <v>1</v>
      </c>
      <c r="G14" s="5" t="s">
        <v>15</v>
      </c>
      <c r="I14" s="5" t="s">
        <v>10</v>
      </c>
      <c r="J14" s="5" t="s">
        <v>2</v>
      </c>
      <c r="K14" s="5" t="s">
        <v>1</v>
      </c>
      <c r="L14" s="5" t="s">
        <v>11</v>
      </c>
      <c r="M14" s="5" t="s">
        <v>1</v>
      </c>
      <c r="N14" s="5" t="s">
        <v>15</v>
      </c>
    </row>
    <row r="15" spans="2:15" x14ac:dyDescent="0.35">
      <c r="B15" s="7" t="s">
        <v>308</v>
      </c>
      <c r="C15" s="7">
        <v>2</v>
      </c>
      <c r="D15" s="7" t="s">
        <v>17</v>
      </c>
      <c r="E15" s="5">
        <f>Recipes!U37</f>
        <v>7.0427312853837354E-2</v>
      </c>
      <c r="F15" s="5" t="str">
        <f>D15</f>
        <v>Oz</v>
      </c>
      <c r="G15" s="5">
        <f>C15*E15</f>
        <v>0.14085462570767471</v>
      </c>
      <c r="I15" s="7" t="s">
        <v>308</v>
      </c>
      <c r="J15" s="7">
        <v>4</v>
      </c>
      <c r="K15" s="7" t="s">
        <v>17</v>
      </c>
      <c r="L15" s="5">
        <f>Recipes!U37</f>
        <v>7.0427312853837354E-2</v>
      </c>
      <c r="M15" s="5" t="str">
        <f>K15</f>
        <v>Oz</v>
      </c>
      <c r="N15" s="5">
        <f>J15*L15</f>
        <v>0.28170925141534942</v>
      </c>
    </row>
    <row r="16" spans="2:15" x14ac:dyDescent="0.35">
      <c r="B16" s="7" t="s">
        <v>207</v>
      </c>
      <c r="C16" s="7">
        <v>1</v>
      </c>
      <c r="D16" s="7" t="s">
        <v>209</v>
      </c>
      <c r="E16" s="5">
        <f>E8</f>
        <v>2.1489999999999999E-2</v>
      </c>
      <c r="F16" s="5" t="str">
        <f>D16</f>
        <v>Cup</v>
      </c>
      <c r="G16" s="5">
        <f>C16*E16</f>
        <v>2.1489999999999999E-2</v>
      </c>
      <c r="I16" s="7" t="s">
        <v>307</v>
      </c>
      <c r="J16" s="7">
        <v>1</v>
      </c>
      <c r="K16" s="7" t="s">
        <v>209</v>
      </c>
      <c r="L16" s="5">
        <f>L8</f>
        <v>2.53E-2</v>
      </c>
      <c r="M16" s="5" t="str">
        <f>K16</f>
        <v>Cup</v>
      </c>
      <c r="N16" s="5">
        <f>J16*L16</f>
        <v>2.53E-2</v>
      </c>
    </row>
    <row r="17" spans="2:14" x14ac:dyDescent="0.35">
      <c r="B17" s="7" t="s">
        <v>208</v>
      </c>
      <c r="C17" s="7">
        <v>1</v>
      </c>
      <c r="D17" s="7" t="s">
        <v>25</v>
      </c>
      <c r="E17" s="5">
        <f>E9</f>
        <v>2.0489999999999998E-2</v>
      </c>
      <c r="F17" s="5" t="str">
        <f>D17</f>
        <v>Lid</v>
      </c>
      <c r="G17" s="5">
        <f>C17*E17</f>
        <v>2.0489999999999998E-2</v>
      </c>
      <c r="I17" s="7" t="s">
        <v>309</v>
      </c>
      <c r="J17" s="7">
        <v>1</v>
      </c>
      <c r="K17" s="7" t="s">
        <v>25</v>
      </c>
      <c r="L17" s="5">
        <f>L9</f>
        <v>1.4489999999999999E-2</v>
      </c>
      <c r="M17" s="5" t="str">
        <f>K17</f>
        <v>Lid</v>
      </c>
      <c r="N17" s="5">
        <f>J17*L17</f>
        <v>1.4489999999999999E-2</v>
      </c>
    </row>
    <row r="19" spans="2:14" ht="15.5" x14ac:dyDescent="0.35">
      <c r="B19" s="128" t="s">
        <v>338</v>
      </c>
      <c r="C19" s="128"/>
      <c r="D19" s="128"/>
      <c r="E19" s="129" t="s">
        <v>7</v>
      </c>
      <c r="F19" s="129"/>
      <c r="G19" s="30">
        <f>SUM(G23:G25)</f>
        <v>0.30951431111302635</v>
      </c>
      <c r="I19" s="128" t="s">
        <v>310</v>
      </c>
      <c r="J19" s="128"/>
      <c r="K19" s="128"/>
      <c r="L19" s="129" t="s">
        <v>7</v>
      </c>
      <c r="M19" s="129"/>
      <c r="N19" s="30">
        <f>SUM(N23:N25)</f>
        <v>0.57485862222605266</v>
      </c>
    </row>
    <row r="20" spans="2:14" x14ac:dyDescent="0.35">
      <c r="B20" s="9"/>
      <c r="G20" s="8"/>
      <c r="I20" s="9"/>
      <c r="N20" s="8"/>
    </row>
    <row r="21" spans="2:14" x14ac:dyDescent="0.35">
      <c r="B21" s="10"/>
      <c r="C21" s="126" t="s">
        <v>13</v>
      </c>
      <c r="D21" s="126"/>
      <c r="E21" s="126" t="s">
        <v>14</v>
      </c>
      <c r="F21" s="126"/>
      <c r="G21" s="5" t="s">
        <v>6</v>
      </c>
      <c r="I21" s="10"/>
      <c r="J21" s="126" t="s">
        <v>13</v>
      </c>
      <c r="K21" s="126"/>
      <c r="L21" s="126" t="s">
        <v>14</v>
      </c>
      <c r="M21" s="126"/>
      <c r="N21" s="5" t="s">
        <v>6</v>
      </c>
    </row>
    <row r="22" spans="2:14" x14ac:dyDescent="0.35">
      <c r="B22" s="5" t="s">
        <v>10</v>
      </c>
      <c r="C22" s="5" t="s">
        <v>2</v>
      </c>
      <c r="D22" s="5" t="s">
        <v>1</v>
      </c>
      <c r="E22" s="5" t="s">
        <v>11</v>
      </c>
      <c r="F22" s="5" t="s">
        <v>1</v>
      </c>
      <c r="G22" s="5" t="s">
        <v>15</v>
      </c>
      <c r="I22" s="5" t="s">
        <v>10</v>
      </c>
      <c r="J22" s="5" t="s">
        <v>2</v>
      </c>
      <c r="K22" s="5" t="s">
        <v>1</v>
      </c>
      <c r="L22" s="5" t="s">
        <v>11</v>
      </c>
      <c r="M22" s="5" t="s">
        <v>1</v>
      </c>
      <c r="N22" s="5" t="s">
        <v>15</v>
      </c>
    </row>
    <row r="23" spans="2:14" x14ac:dyDescent="0.35">
      <c r="B23" s="7" t="s">
        <v>336</v>
      </c>
      <c r="C23" s="7">
        <v>2</v>
      </c>
      <c r="D23" s="7" t="s">
        <v>17</v>
      </c>
      <c r="E23" s="5">
        <f>Recipes!U16</f>
        <v>0.13376715555651317</v>
      </c>
      <c r="F23" s="5" t="str">
        <f>D23</f>
        <v>Oz</v>
      </c>
      <c r="G23" s="5">
        <f>C23*E23</f>
        <v>0.26753431111302634</v>
      </c>
      <c r="I23" s="7" t="s">
        <v>336</v>
      </c>
      <c r="J23" s="7">
        <v>4</v>
      </c>
      <c r="K23" s="7" t="s">
        <v>17</v>
      </c>
      <c r="L23" s="5">
        <f>Recipes!U16</f>
        <v>0.13376715555651317</v>
      </c>
      <c r="M23" s="5" t="str">
        <f>K23</f>
        <v>Oz</v>
      </c>
      <c r="N23" s="5">
        <f>J23*L23</f>
        <v>0.53506862222605267</v>
      </c>
    </row>
    <row r="24" spans="2:14" x14ac:dyDescent="0.35">
      <c r="B24" s="7" t="s">
        <v>207</v>
      </c>
      <c r="C24" s="7">
        <v>1</v>
      </c>
      <c r="D24" s="7" t="s">
        <v>209</v>
      </c>
      <c r="E24" s="5">
        <f>E16</f>
        <v>2.1489999999999999E-2</v>
      </c>
      <c r="F24" s="5" t="str">
        <f>D24</f>
        <v>Cup</v>
      </c>
      <c r="G24" s="5">
        <f>C24*E24</f>
        <v>2.1489999999999999E-2</v>
      </c>
      <c r="I24" s="7" t="s">
        <v>307</v>
      </c>
      <c r="J24" s="7">
        <v>1</v>
      </c>
      <c r="K24" s="7" t="s">
        <v>209</v>
      </c>
      <c r="L24" s="5">
        <f>L16</f>
        <v>2.53E-2</v>
      </c>
      <c r="M24" s="5" t="str">
        <f>K24</f>
        <v>Cup</v>
      </c>
      <c r="N24" s="5">
        <f>J24*L24</f>
        <v>2.53E-2</v>
      </c>
    </row>
    <row r="25" spans="2:14" x14ac:dyDescent="0.35">
      <c r="B25" s="7" t="s">
        <v>208</v>
      </c>
      <c r="C25" s="7">
        <v>1</v>
      </c>
      <c r="D25" s="7" t="s">
        <v>25</v>
      </c>
      <c r="E25" s="5">
        <f>E17</f>
        <v>2.0489999999999998E-2</v>
      </c>
      <c r="F25" s="5" t="str">
        <f>D25</f>
        <v>Lid</v>
      </c>
      <c r="G25" s="5">
        <f>C25*E25</f>
        <v>2.0489999999999998E-2</v>
      </c>
      <c r="I25" s="7" t="s">
        <v>309</v>
      </c>
      <c r="J25" s="7">
        <v>1</v>
      </c>
      <c r="K25" s="7" t="s">
        <v>25</v>
      </c>
      <c r="L25" s="5">
        <f>L17</f>
        <v>1.4489999999999999E-2</v>
      </c>
      <c r="M25" s="5" t="str">
        <f>K25</f>
        <v>Lid</v>
      </c>
      <c r="N25" s="5">
        <f>J25*L25</f>
        <v>1.4489999999999999E-2</v>
      </c>
    </row>
    <row r="27" spans="2:14" ht="15.5" x14ac:dyDescent="0.35">
      <c r="B27" s="128" t="s">
        <v>468</v>
      </c>
      <c r="C27" s="128"/>
      <c r="D27" s="128"/>
      <c r="E27" s="129" t="s">
        <v>7</v>
      </c>
      <c r="F27" s="129"/>
      <c r="G27" s="30">
        <f>SUM(G31:G33)</f>
        <v>0.26213625000000002</v>
      </c>
    </row>
    <row r="28" spans="2:14" x14ac:dyDescent="0.35">
      <c r="B28" s="9"/>
      <c r="G28" s="8"/>
    </row>
    <row r="29" spans="2:14" x14ac:dyDescent="0.35">
      <c r="B29" s="10"/>
      <c r="C29" s="126" t="s">
        <v>13</v>
      </c>
      <c r="D29" s="126"/>
      <c r="E29" s="126" t="s">
        <v>14</v>
      </c>
      <c r="F29" s="126"/>
      <c r="G29" s="5" t="s">
        <v>6</v>
      </c>
    </row>
    <row r="30" spans="2:14" x14ac:dyDescent="0.35">
      <c r="B30" s="5" t="s">
        <v>10</v>
      </c>
      <c r="C30" s="5" t="s">
        <v>2</v>
      </c>
      <c r="D30" s="5" t="s">
        <v>1</v>
      </c>
      <c r="E30" s="5" t="s">
        <v>11</v>
      </c>
      <c r="F30" s="5" t="s">
        <v>1</v>
      </c>
      <c r="G30" s="5" t="s">
        <v>15</v>
      </c>
    </row>
    <row r="31" spans="2:14" x14ac:dyDescent="0.35">
      <c r="B31" s="7" t="s">
        <v>32</v>
      </c>
      <c r="C31" s="7">
        <v>2</v>
      </c>
      <c r="D31" s="7" t="s">
        <v>17</v>
      </c>
      <c r="E31" s="5">
        <f>'Food Prices'!J34</f>
        <v>0.110078125</v>
      </c>
      <c r="F31" s="5" t="str">
        <f>D31</f>
        <v>Oz</v>
      </c>
      <c r="G31" s="5">
        <f>C31*E31</f>
        <v>0.22015625</v>
      </c>
    </row>
    <row r="32" spans="2:14" x14ac:dyDescent="0.35">
      <c r="B32" s="7" t="s">
        <v>207</v>
      </c>
      <c r="C32" s="7">
        <v>1</v>
      </c>
      <c r="D32" s="7" t="s">
        <v>209</v>
      </c>
      <c r="E32" s="5">
        <f>E24</f>
        <v>2.1489999999999999E-2</v>
      </c>
      <c r="F32" s="5" t="str">
        <f>D32</f>
        <v>Cup</v>
      </c>
      <c r="G32" s="5">
        <f>C32*E32</f>
        <v>2.1489999999999999E-2</v>
      </c>
    </row>
    <row r="33" spans="2:7" x14ac:dyDescent="0.35">
      <c r="B33" s="7" t="s">
        <v>208</v>
      </c>
      <c r="C33" s="7">
        <v>1</v>
      </c>
      <c r="D33" s="7" t="s">
        <v>25</v>
      </c>
      <c r="E33" s="5">
        <f>E25</f>
        <v>2.0489999999999998E-2</v>
      </c>
      <c r="F33" s="5" t="str">
        <f>D33</f>
        <v>Lid</v>
      </c>
      <c r="G33" s="5">
        <f>C33*E33</f>
        <v>2.0489999999999998E-2</v>
      </c>
    </row>
    <row r="35" spans="2:7" ht="15.5" x14ac:dyDescent="0.35">
      <c r="B35" s="128" t="s">
        <v>469</v>
      </c>
      <c r="C35" s="128"/>
      <c r="D35" s="128"/>
      <c r="E35" s="129" t="s">
        <v>7</v>
      </c>
      <c r="F35" s="129"/>
      <c r="G35" s="30">
        <f>SUM(G39:G41)</f>
        <v>0.1552221875</v>
      </c>
    </row>
    <row r="36" spans="2:7" x14ac:dyDescent="0.35">
      <c r="B36" s="9"/>
      <c r="G36" s="8"/>
    </row>
    <row r="37" spans="2:7" x14ac:dyDescent="0.35">
      <c r="B37" s="10"/>
      <c r="C37" s="126" t="s">
        <v>13</v>
      </c>
      <c r="D37" s="126"/>
      <c r="E37" s="126" t="s">
        <v>14</v>
      </c>
      <c r="F37" s="126"/>
      <c r="G37" s="5" t="s">
        <v>6</v>
      </c>
    </row>
    <row r="38" spans="2:7" x14ac:dyDescent="0.35">
      <c r="B38" s="5" t="s">
        <v>10</v>
      </c>
      <c r="C38" s="5" t="s">
        <v>2</v>
      </c>
      <c r="D38" s="5" t="s">
        <v>1</v>
      </c>
      <c r="E38" s="5" t="s">
        <v>11</v>
      </c>
      <c r="F38" s="5" t="s">
        <v>1</v>
      </c>
      <c r="G38" s="5" t="s">
        <v>15</v>
      </c>
    </row>
    <row r="39" spans="2:7" x14ac:dyDescent="0.35">
      <c r="B39" s="7" t="s">
        <v>29</v>
      </c>
      <c r="C39" s="7">
        <v>2</v>
      </c>
      <c r="D39" s="7" t="s">
        <v>17</v>
      </c>
      <c r="E39" s="5">
        <f>'Food Prices'!L93</f>
        <v>5.6621093749999997E-2</v>
      </c>
      <c r="F39" s="5" t="str">
        <f>D39</f>
        <v>Oz</v>
      </c>
      <c r="G39" s="5">
        <f>C39*E39</f>
        <v>0.11324218749999999</v>
      </c>
    </row>
    <row r="40" spans="2:7" x14ac:dyDescent="0.35">
      <c r="B40" s="7" t="s">
        <v>207</v>
      </c>
      <c r="C40" s="7">
        <v>1</v>
      </c>
      <c r="D40" s="7" t="s">
        <v>209</v>
      </c>
      <c r="E40" s="5">
        <f>E32</f>
        <v>2.1489999999999999E-2</v>
      </c>
      <c r="F40" s="5" t="str">
        <f>D40</f>
        <v>Cup</v>
      </c>
      <c r="G40" s="5">
        <f>C40*E40</f>
        <v>2.1489999999999999E-2</v>
      </c>
    </row>
    <row r="41" spans="2:7" x14ac:dyDescent="0.35">
      <c r="B41" s="7" t="s">
        <v>208</v>
      </c>
      <c r="C41" s="7">
        <v>1</v>
      </c>
      <c r="D41" s="7" t="s">
        <v>25</v>
      </c>
      <c r="E41" s="5">
        <f>E33</f>
        <v>2.0489999999999998E-2</v>
      </c>
      <c r="F41" s="5" t="str">
        <f>D41</f>
        <v>Lid</v>
      </c>
      <c r="G41" s="5">
        <f>C41*E41</f>
        <v>2.0489999999999998E-2</v>
      </c>
    </row>
    <row r="43" spans="2:7" ht="15.5" x14ac:dyDescent="0.35">
      <c r="B43" s="128" t="s">
        <v>470</v>
      </c>
      <c r="C43" s="128"/>
      <c r="D43" s="128"/>
      <c r="E43" s="129" t="s">
        <v>7</v>
      </c>
      <c r="F43" s="129"/>
      <c r="G43" s="30">
        <f>SUM(G47:G49)</f>
        <v>0.35416750000000002</v>
      </c>
    </row>
    <row r="44" spans="2:7" x14ac:dyDescent="0.35">
      <c r="B44" s="9"/>
      <c r="G44" s="8"/>
    </row>
    <row r="45" spans="2:7" x14ac:dyDescent="0.35">
      <c r="B45" s="10"/>
      <c r="C45" s="126" t="s">
        <v>13</v>
      </c>
      <c r="D45" s="126"/>
      <c r="E45" s="126" t="s">
        <v>14</v>
      </c>
      <c r="F45" s="126"/>
      <c r="G45" s="5" t="s">
        <v>6</v>
      </c>
    </row>
    <row r="46" spans="2:7" x14ac:dyDescent="0.35">
      <c r="B46" s="5" t="s">
        <v>10</v>
      </c>
      <c r="C46" s="5" t="s">
        <v>2</v>
      </c>
      <c r="D46" s="5" t="s">
        <v>1</v>
      </c>
      <c r="E46" s="5" t="s">
        <v>11</v>
      </c>
      <c r="F46" s="5" t="s">
        <v>1</v>
      </c>
      <c r="G46" s="5" t="s">
        <v>15</v>
      </c>
    </row>
    <row r="47" spans="2:7" x14ac:dyDescent="0.35">
      <c r="B47" s="7" t="s">
        <v>273</v>
      </c>
      <c r="C47" s="7">
        <v>2</v>
      </c>
      <c r="D47" s="7" t="s">
        <v>17</v>
      </c>
      <c r="E47" s="5">
        <f>'Food Prices'!J94</f>
        <v>0.15609375</v>
      </c>
      <c r="F47" s="5" t="str">
        <f>D47</f>
        <v>Oz</v>
      </c>
      <c r="G47" s="5">
        <f>C47*E47</f>
        <v>0.31218750000000001</v>
      </c>
    </row>
    <row r="48" spans="2:7" x14ac:dyDescent="0.35">
      <c r="B48" s="7" t="s">
        <v>207</v>
      </c>
      <c r="C48" s="7">
        <v>1</v>
      </c>
      <c r="D48" s="7" t="s">
        <v>209</v>
      </c>
      <c r="E48" s="5">
        <f>E40</f>
        <v>2.1489999999999999E-2</v>
      </c>
      <c r="F48" s="5" t="str">
        <f>D48</f>
        <v>Cup</v>
      </c>
      <c r="G48" s="5">
        <f>C48*E48</f>
        <v>2.1489999999999999E-2</v>
      </c>
    </row>
    <row r="49" spans="2:7" x14ac:dyDescent="0.35">
      <c r="B49" s="7" t="s">
        <v>208</v>
      </c>
      <c r="C49" s="7">
        <v>1</v>
      </c>
      <c r="D49" s="7" t="s">
        <v>25</v>
      </c>
      <c r="E49" s="5">
        <f>E41</f>
        <v>2.0489999999999998E-2</v>
      </c>
      <c r="F49" s="5" t="str">
        <f>D49</f>
        <v>Lid</v>
      </c>
      <c r="G49" s="5">
        <f>C49*E49</f>
        <v>2.0489999999999998E-2</v>
      </c>
    </row>
  </sheetData>
  <mergeCells count="37">
    <mergeCell ref="C37:D37"/>
    <mergeCell ref="E37:F37"/>
    <mergeCell ref="B43:D43"/>
    <mergeCell ref="E43:F43"/>
    <mergeCell ref="C45:D45"/>
    <mergeCell ref="E45:F45"/>
    <mergeCell ref="B27:D27"/>
    <mergeCell ref="E27:F27"/>
    <mergeCell ref="C29:D29"/>
    <mergeCell ref="E29:F29"/>
    <mergeCell ref="B35:D35"/>
    <mergeCell ref="E35:F35"/>
    <mergeCell ref="J21:K21"/>
    <mergeCell ref="L21:M21"/>
    <mergeCell ref="L11:M11"/>
    <mergeCell ref="J13:K13"/>
    <mergeCell ref="L13:M13"/>
    <mergeCell ref="I19:K19"/>
    <mergeCell ref="L19:M19"/>
    <mergeCell ref="C1:O1"/>
    <mergeCell ref="L3:M3"/>
    <mergeCell ref="L5:M5"/>
    <mergeCell ref="B11:D11"/>
    <mergeCell ref="E11:F11"/>
    <mergeCell ref="I3:K3"/>
    <mergeCell ref="J5:K5"/>
    <mergeCell ref="I11:K11"/>
    <mergeCell ref="B3:D3"/>
    <mergeCell ref="E3:F3"/>
    <mergeCell ref="C5:D5"/>
    <mergeCell ref="E5:F5"/>
    <mergeCell ref="C13:D13"/>
    <mergeCell ref="E13:F13"/>
    <mergeCell ref="B19:D19"/>
    <mergeCell ref="E19:F19"/>
    <mergeCell ref="C21:D21"/>
    <mergeCell ref="E21:F21"/>
  </mergeCells>
  <pageMargins left="0.25" right="0.25" top="0.75" bottom="0.75" header="0.3" footer="0.3"/>
  <pageSetup scale="98"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E3110-C96A-4F1E-A85A-090E72B998BC}">
  <sheetPr codeName="Sheet4">
    <pageSetUpPr fitToPage="1"/>
  </sheetPr>
  <dimension ref="B1:N96"/>
  <sheetViews>
    <sheetView showGridLines="0" zoomScale="70" zoomScaleNormal="70" workbookViewId="0">
      <selection activeCell="B1" sqref="B1:N1"/>
    </sheetView>
  </sheetViews>
  <sheetFormatPr defaultRowHeight="14.5" x14ac:dyDescent="0.35"/>
  <cols>
    <col min="1" max="1" width="3.1796875" customWidth="1"/>
    <col min="2" max="2" width="22.08984375" bestFit="1" customWidth="1"/>
    <col min="3" max="3" width="7.90625" bestFit="1" customWidth="1"/>
    <col min="5" max="5" width="11.81640625" bestFit="1" customWidth="1"/>
    <col min="9" max="9" width="22.08984375" bestFit="1" customWidth="1"/>
    <col min="12" max="12" width="11.81640625" bestFit="1" customWidth="1"/>
  </cols>
  <sheetData>
    <row r="1" spans="2:14" ht="23.5" x14ac:dyDescent="0.55000000000000004">
      <c r="B1" s="118" t="s">
        <v>26</v>
      </c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</row>
    <row r="3" spans="2:14" s="29" customFormat="1" ht="15.5" x14ac:dyDescent="0.35">
      <c r="B3" s="128" t="s">
        <v>4</v>
      </c>
      <c r="C3" s="128"/>
      <c r="D3" s="128"/>
      <c r="E3" s="129" t="s">
        <v>7</v>
      </c>
      <c r="F3" s="129"/>
      <c r="G3" s="30">
        <f>SUM(G7:G8)</f>
        <v>0.54418833333333327</v>
      </c>
      <c r="I3" s="128" t="s">
        <v>50</v>
      </c>
      <c r="J3" s="128"/>
      <c r="K3" s="128"/>
      <c r="L3" s="129" t="s">
        <v>7</v>
      </c>
      <c r="M3" s="129"/>
      <c r="N3" s="30">
        <f>SUM(N7:N10)</f>
        <v>5.6090028125</v>
      </c>
    </row>
    <row r="4" spans="2:14" x14ac:dyDescent="0.35">
      <c r="B4" s="9"/>
      <c r="G4" s="8"/>
      <c r="I4" s="9"/>
      <c r="N4" s="8"/>
    </row>
    <row r="5" spans="2:14" x14ac:dyDescent="0.35">
      <c r="B5" s="10"/>
      <c r="C5" s="126" t="s">
        <v>13</v>
      </c>
      <c r="D5" s="126"/>
      <c r="E5" s="126" t="s">
        <v>14</v>
      </c>
      <c r="F5" s="126"/>
      <c r="G5" s="5" t="s">
        <v>6</v>
      </c>
      <c r="I5" s="10"/>
      <c r="J5" s="126" t="s">
        <v>13</v>
      </c>
      <c r="K5" s="126"/>
      <c r="L5" s="126" t="s">
        <v>14</v>
      </c>
      <c r="M5" s="126"/>
      <c r="N5" s="5" t="s">
        <v>6</v>
      </c>
    </row>
    <row r="6" spans="2:14" x14ac:dyDescent="0.35">
      <c r="B6" s="5" t="s">
        <v>10</v>
      </c>
      <c r="C6" s="5" t="s">
        <v>2</v>
      </c>
      <c r="D6" s="5" t="s">
        <v>1</v>
      </c>
      <c r="E6" s="5" t="s">
        <v>11</v>
      </c>
      <c r="F6" s="5" t="s">
        <v>1</v>
      </c>
      <c r="G6" s="5" t="s">
        <v>15</v>
      </c>
      <c r="I6" s="5" t="s">
        <v>10</v>
      </c>
      <c r="J6" s="5" t="s">
        <v>2</v>
      </c>
      <c r="K6" s="5" t="s">
        <v>1</v>
      </c>
      <c r="L6" s="5" t="s">
        <v>11</v>
      </c>
      <c r="M6" s="5" t="s">
        <v>1</v>
      </c>
      <c r="N6" s="5" t="s">
        <v>15</v>
      </c>
    </row>
    <row r="7" spans="2:14" x14ac:dyDescent="0.35">
      <c r="B7" s="7" t="s">
        <v>5</v>
      </c>
      <c r="C7" s="7">
        <v>9</v>
      </c>
      <c r="D7" s="7" t="s">
        <v>17</v>
      </c>
      <c r="E7" s="5">
        <f>'Food Prices'!L44</f>
        <v>5.6689814814814811E-2</v>
      </c>
      <c r="F7" s="5" t="str">
        <f>D7</f>
        <v>Oz</v>
      </c>
      <c r="G7" s="5">
        <f>C7*E7</f>
        <v>0.51020833333333326</v>
      </c>
      <c r="I7" s="7" t="s">
        <v>47</v>
      </c>
      <c r="J7" s="7">
        <v>6</v>
      </c>
      <c r="K7" s="7" t="s">
        <v>30</v>
      </c>
      <c r="L7" s="5">
        <f>'Food Prices'!P61</f>
        <v>0.84308062500000003</v>
      </c>
      <c r="M7" s="5" t="str">
        <f>K7</f>
        <v>ct</v>
      </c>
      <c r="N7" s="5">
        <f>J7*L7</f>
        <v>5.0584837500000006</v>
      </c>
    </row>
    <row r="8" spans="2:14" x14ac:dyDescent="0.35">
      <c r="B8" s="7" t="s">
        <v>12</v>
      </c>
      <c r="C8" s="7">
        <v>1</v>
      </c>
      <c r="D8" s="7" t="s">
        <v>16</v>
      </c>
      <c r="E8" s="5">
        <f>'Paper Product Prices'!H16</f>
        <v>3.3979999999999996E-2</v>
      </c>
      <c r="F8" s="5" t="str">
        <f>D8</f>
        <v>Container</v>
      </c>
      <c r="G8" s="5">
        <f>C8*E8</f>
        <v>3.3979999999999996E-2</v>
      </c>
      <c r="I8" s="7" t="s">
        <v>48</v>
      </c>
      <c r="J8" s="7">
        <v>2</v>
      </c>
      <c r="K8" s="7" t="s">
        <v>17</v>
      </c>
      <c r="L8" s="5">
        <f>'Food Prices'!L95</f>
        <v>0.10251953125</v>
      </c>
      <c r="M8" s="5" t="str">
        <f>K8</f>
        <v>Oz</v>
      </c>
      <c r="N8" s="5">
        <f>J8*L8</f>
        <v>0.20503906250000001</v>
      </c>
    </row>
    <row r="9" spans="2:14" s="11" customFormat="1" x14ac:dyDescent="0.35">
      <c r="B9" s="2"/>
      <c r="C9" s="2"/>
      <c r="D9" s="2"/>
      <c r="E9" s="2"/>
      <c r="F9" s="2"/>
      <c r="G9" s="2"/>
      <c r="I9" s="7" t="s">
        <v>49</v>
      </c>
      <c r="J9" s="7">
        <v>1</v>
      </c>
      <c r="K9" s="7" t="s">
        <v>45</v>
      </c>
      <c r="L9" s="5">
        <f>'Food Prices'!J31</f>
        <v>0.3115</v>
      </c>
      <c r="M9" s="5" t="str">
        <f>K9</f>
        <v>packet</v>
      </c>
      <c r="N9" s="5">
        <f>J9*L9</f>
        <v>0.3115</v>
      </c>
    </row>
    <row r="10" spans="2:14" s="29" customFormat="1" ht="15.5" x14ac:dyDescent="0.35">
      <c r="B10" s="128" t="s">
        <v>8</v>
      </c>
      <c r="C10" s="128"/>
      <c r="D10" s="128"/>
      <c r="E10" s="129" t="s">
        <v>7</v>
      </c>
      <c r="F10" s="129"/>
      <c r="G10" s="30">
        <f>SUM(G14:G17)</f>
        <v>1.3096858333333334</v>
      </c>
      <c r="I10" s="7" t="s">
        <v>12</v>
      </c>
      <c r="J10" s="7">
        <v>1</v>
      </c>
      <c r="K10" s="7" t="s">
        <v>16</v>
      </c>
      <c r="L10" s="5">
        <f>E8</f>
        <v>3.3979999999999996E-2</v>
      </c>
      <c r="M10" s="5" t="str">
        <f>K10</f>
        <v>Container</v>
      </c>
      <c r="N10" s="5">
        <f>J10*L10</f>
        <v>3.3979999999999996E-2</v>
      </c>
    </row>
    <row r="11" spans="2:14" x14ac:dyDescent="0.35">
      <c r="B11" s="9"/>
      <c r="G11" s="8"/>
    </row>
    <row r="12" spans="2:14" ht="15.5" x14ac:dyDescent="0.35">
      <c r="B12" s="10"/>
      <c r="C12" s="126" t="s">
        <v>13</v>
      </c>
      <c r="D12" s="126"/>
      <c r="E12" s="126" t="s">
        <v>14</v>
      </c>
      <c r="F12" s="126"/>
      <c r="G12" s="5" t="s">
        <v>6</v>
      </c>
      <c r="I12" s="128" t="s">
        <v>51</v>
      </c>
      <c r="J12" s="128"/>
      <c r="K12" s="128"/>
      <c r="L12" s="129" t="s">
        <v>7</v>
      </c>
      <c r="M12" s="129"/>
      <c r="N12" s="30">
        <f>SUM(N16:N19)</f>
        <v>5.6651453906249998</v>
      </c>
    </row>
    <row r="13" spans="2:14" x14ac:dyDescent="0.35">
      <c r="B13" s="5" t="s">
        <v>10</v>
      </c>
      <c r="C13" s="5" t="s">
        <v>2</v>
      </c>
      <c r="D13" s="5" t="s">
        <v>1</v>
      </c>
      <c r="E13" s="5" t="s">
        <v>11</v>
      </c>
      <c r="F13" s="5" t="s">
        <v>1</v>
      </c>
      <c r="G13" s="5" t="s">
        <v>15</v>
      </c>
      <c r="I13" s="9"/>
      <c r="N13" s="8"/>
    </row>
    <row r="14" spans="2:14" x14ac:dyDescent="0.35">
      <c r="B14" s="7" t="s">
        <v>5</v>
      </c>
      <c r="C14" s="7">
        <f>C7</f>
        <v>9</v>
      </c>
      <c r="D14" s="7" t="s">
        <v>17</v>
      </c>
      <c r="E14" s="5">
        <f>'Food Prices'!L44</f>
        <v>5.6689814814814811E-2</v>
      </c>
      <c r="F14" s="5" t="str">
        <f>D14</f>
        <v>Oz</v>
      </c>
      <c r="G14" s="5">
        <f>C14*E14</f>
        <v>0.51020833333333326</v>
      </c>
      <c r="I14" s="10"/>
      <c r="J14" s="126" t="s">
        <v>13</v>
      </c>
      <c r="K14" s="126"/>
      <c r="L14" s="126" t="s">
        <v>14</v>
      </c>
      <c r="M14" s="126"/>
      <c r="N14" s="5" t="s">
        <v>6</v>
      </c>
    </row>
    <row r="15" spans="2:14" x14ac:dyDescent="0.35">
      <c r="B15" s="7" t="s">
        <v>22</v>
      </c>
      <c r="C15" s="7">
        <v>3.5</v>
      </c>
      <c r="D15" s="7" t="s">
        <v>17</v>
      </c>
      <c r="E15" s="5">
        <f>'Food Prices'!L22</f>
        <v>0.18312500000000001</v>
      </c>
      <c r="F15" s="5" t="str">
        <f>D15</f>
        <v>Oz</v>
      </c>
      <c r="G15" s="5">
        <f>C15*E15</f>
        <v>0.64093750000000005</v>
      </c>
      <c r="I15" s="5" t="s">
        <v>10</v>
      </c>
      <c r="J15" s="5" t="s">
        <v>2</v>
      </c>
      <c r="K15" s="5" t="s">
        <v>1</v>
      </c>
      <c r="L15" s="5" t="s">
        <v>11</v>
      </c>
      <c r="M15" s="5" t="s">
        <v>1</v>
      </c>
      <c r="N15" s="5" t="s">
        <v>15</v>
      </c>
    </row>
    <row r="16" spans="2:14" x14ac:dyDescent="0.35">
      <c r="B16" s="7" t="s">
        <v>23</v>
      </c>
      <c r="C16" s="7">
        <v>1</v>
      </c>
      <c r="D16" s="7" t="s">
        <v>16</v>
      </c>
      <c r="E16" s="5">
        <f>'Paper Product Prices'!H28</f>
        <v>0.10643999999999999</v>
      </c>
      <c r="F16" s="5" t="str">
        <f>D16</f>
        <v>Container</v>
      </c>
      <c r="G16" s="5">
        <f>C16*E16</f>
        <v>0.10643999999999999</v>
      </c>
      <c r="I16" s="7" t="s">
        <v>47</v>
      </c>
      <c r="J16" s="7">
        <v>6</v>
      </c>
      <c r="K16" s="7" t="s">
        <v>30</v>
      </c>
      <c r="L16" s="5">
        <f>'Food Prices'!P61</f>
        <v>0.84308062500000003</v>
      </c>
      <c r="M16" s="5" t="str">
        <f>K16</f>
        <v>ct</v>
      </c>
      <c r="N16" s="5">
        <f>J16*L16</f>
        <v>5.0584837500000006</v>
      </c>
    </row>
    <row r="17" spans="2:14" x14ac:dyDescent="0.35">
      <c r="B17" s="7" t="s">
        <v>24</v>
      </c>
      <c r="C17" s="7">
        <v>1</v>
      </c>
      <c r="D17" s="7" t="s">
        <v>25</v>
      </c>
      <c r="E17" s="5">
        <f>'Paper Product Prices'!H29</f>
        <v>5.21E-2</v>
      </c>
      <c r="F17" s="5" t="str">
        <f>D17</f>
        <v>Lid</v>
      </c>
      <c r="G17" s="5">
        <f>C17*E17</f>
        <v>5.21E-2</v>
      </c>
      <c r="I17" s="7" t="s">
        <v>53</v>
      </c>
      <c r="J17" s="7">
        <v>2.5</v>
      </c>
      <c r="K17" s="7" t="s">
        <v>17</v>
      </c>
      <c r="L17" s="5">
        <f>'Food Prices'!L98</f>
        <v>0.10447265625</v>
      </c>
      <c r="M17" s="5" t="str">
        <f>K17</f>
        <v>Oz</v>
      </c>
      <c r="N17" s="5">
        <f>J17*L17</f>
        <v>0.26118164062499999</v>
      </c>
    </row>
    <row r="18" spans="2:14" x14ac:dyDescent="0.35">
      <c r="I18" s="7" t="s">
        <v>49</v>
      </c>
      <c r="J18" s="7">
        <v>1</v>
      </c>
      <c r="K18" s="7" t="s">
        <v>45</v>
      </c>
      <c r="L18" s="5">
        <f>'Food Prices'!J31</f>
        <v>0.3115</v>
      </c>
      <c r="M18" s="5" t="str">
        <f>K18</f>
        <v>packet</v>
      </c>
      <c r="N18" s="5">
        <f>J18*L18</f>
        <v>0.3115</v>
      </c>
    </row>
    <row r="19" spans="2:14" s="29" customFormat="1" ht="15.5" x14ac:dyDescent="0.35">
      <c r="B19" s="128" t="s">
        <v>27</v>
      </c>
      <c r="C19" s="128"/>
      <c r="D19" s="128"/>
      <c r="E19" s="129" t="s">
        <v>7</v>
      </c>
      <c r="F19" s="129"/>
      <c r="G19" s="30">
        <f>SUM(G23:G27)</f>
        <v>2.071404583333333</v>
      </c>
      <c r="I19" s="7" t="s">
        <v>12</v>
      </c>
      <c r="J19" s="7">
        <v>1</v>
      </c>
      <c r="K19" s="7" t="s">
        <v>16</v>
      </c>
      <c r="L19" s="5">
        <f>L10</f>
        <v>3.3979999999999996E-2</v>
      </c>
      <c r="M19" s="5" t="str">
        <f>K19</f>
        <v>Container</v>
      </c>
      <c r="N19" s="5">
        <f>J19*L19</f>
        <v>3.3979999999999996E-2</v>
      </c>
    </row>
    <row r="20" spans="2:14" x14ac:dyDescent="0.35">
      <c r="B20" s="9"/>
      <c r="G20" s="8"/>
    </row>
    <row r="21" spans="2:14" ht="15.5" x14ac:dyDescent="0.35">
      <c r="B21" s="10"/>
      <c r="C21" s="126" t="s">
        <v>13</v>
      </c>
      <c r="D21" s="126"/>
      <c r="E21" s="126" t="s">
        <v>14</v>
      </c>
      <c r="F21" s="126"/>
      <c r="G21" s="5" t="s">
        <v>6</v>
      </c>
      <c r="I21" s="128" t="s">
        <v>52</v>
      </c>
      <c r="J21" s="128"/>
      <c r="K21" s="128"/>
      <c r="L21" s="129" t="s">
        <v>7</v>
      </c>
      <c r="M21" s="129"/>
      <c r="N21" s="30">
        <f>SUM(N25:N28)</f>
        <v>5.5738270312499996</v>
      </c>
    </row>
    <row r="22" spans="2:14" x14ac:dyDescent="0.35">
      <c r="B22" s="5" t="s">
        <v>10</v>
      </c>
      <c r="C22" s="5" t="s">
        <v>2</v>
      </c>
      <c r="D22" s="5" t="s">
        <v>1</v>
      </c>
      <c r="E22" s="5" t="s">
        <v>11</v>
      </c>
      <c r="F22" s="5" t="s">
        <v>1</v>
      </c>
      <c r="G22" s="5" t="s">
        <v>15</v>
      </c>
      <c r="I22" s="9"/>
      <c r="N22" s="8"/>
    </row>
    <row r="23" spans="2:14" x14ac:dyDescent="0.35">
      <c r="B23" s="7" t="s">
        <v>5</v>
      </c>
      <c r="C23" s="7">
        <f>C14</f>
        <v>9</v>
      </c>
      <c r="D23" s="7" t="s">
        <v>17</v>
      </c>
      <c r="E23" s="5">
        <f>'Food Prices'!L44</f>
        <v>5.6689814814814811E-2</v>
      </c>
      <c r="F23" s="5" t="str">
        <f>D23</f>
        <v>Oz</v>
      </c>
      <c r="G23" s="5">
        <f>C23*E23</f>
        <v>0.51020833333333326</v>
      </c>
      <c r="I23" s="10"/>
      <c r="J23" s="126" t="s">
        <v>13</v>
      </c>
      <c r="K23" s="126"/>
      <c r="L23" s="126" t="s">
        <v>14</v>
      </c>
      <c r="M23" s="126"/>
      <c r="N23" s="5" t="s">
        <v>6</v>
      </c>
    </row>
    <row r="24" spans="2:14" x14ac:dyDescent="0.35">
      <c r="B24" s="7" t="s">
        <v>22</v>
      </c>
      <c r="C24" s="7">
        <f>C15</f>
        <v>3.5</v>
      </c>
      <c r="D24" s="7" t="s">
        <v>17</v>
      </c>
      <c r="E24" s="5">
        <f>'Food Prices'!L22</f>
        <v>0.18312500000000001</v>
      </c>
      <c r="F24" s="5" t="str">
        <f>D24</f>
        <v>Oz</v>
      </c>
      <c r="G24" s="5">
        <f>C24*E24</f>
        <v>0.64093750000000005</v>
      </c>
      <c r="I24" s="5" t="s">
        <v>10</v>
      </c>
      <c r="J24" s="5" t="s">
        <v>2</v>
      </c>
      <c r="K24" s="5" t="s">
        <v>1</v>
      </c>
      <c r="L24" s="5" t="s">
        <v>11</v>
      </c>
      <c r="M24" s="5" t="s">
        <v>1</v>
      </c>
      <c r="N24" s="5" t="s">
        <v>15</v>
      </c>
    </row>
    <row r="25" spans="2:14" x14ac:dyDescent="0.35">
      <c r="B25" s="7" t="s">
        <v>28</v>
      </c>
      <c r="C25" s="7">
        <v>1.625</v>
      </c>
      <c r="D25" s="7" t="s">
        <v>17</v>
      </c>
      <c r="E25" s="5">
        <f>'Food Prices'!L56</f>
        <v>0.46875</v>
      </c>
      <c r="F25" s="5" t="str">
        <f>D25</f>
        <v>Oz</v>
      </c>
      <c r="G25" s="5">
        <f>C25*E25</f>
        <v>0.76171875</v>
      </c>
      <c r="I25" s="7" t="s">
        <v>47</v>
      </c>
      <c r="J25" s="7">
        <v>6</v>
      </c>
      <c r="K25" s="7" t="s">
        <v>30</v>
      </c>
      <c r="L25" s="5">
        <f>'Food Prices'!P61</f>
        <v>0.84308062500000003</v>
      </c>
      <c r="M25" s="5" t="str">
        <f>K25</f>
        <v>ct</v>
      </c>
      <c r="N25" s="5">
        <f>J25*L25</f>
        <v>5.0584837500000006</v>
      </c>
    </row>
    <row r="26" spans="2:14" x14ac:dyDescent="0.35">
      <c r="B26" s="7" t="s">
        <v>23</v>
      </c>
      <c r="C26" s="7">
        <v>1</v>
      </c>
      <c r="D26" s="7" t="s">
        <v>16</v>
      </c>
      <c r="E26" s="5">
        <f>E16</f>
        <v>0.10643999999999999</v>
      </c>
      <c r="F26" s="5" t="str">
        <f>D26</f>
        <v>Container</v>
      </c>
      <c r="G26" s="5">
        <f>C26*E26</f>
        <v>0.10643999999999999</v>
      </c>
      <c r="I26" s="7" t="s">
        <v>54</v>
      </c>
      <c r="J26" s="7">
        <v>3</v>
      </c>
      <c r="K26" s="7" t="s">
        <v>17</v>
      </c>
      <c r="L26" s="5">
        <f>'Food Prices'!L93</f>
        <v>5.6621093749999997E-2</v>
      </c>
      <c r="M26" s="5" t="str">
        <f>K26</f>
        <v>Oz</v>
      </c>
      <c r="N26" s="5">
        <f>J26*L26</f>
        <v>0.16986328125</v>
      </c>
    </row>
    <row r="27" spans="2:14" x14ac:dyDescent="0.35">
      <c r="B27" s="7" t="s">
        <v>24</v>
      </c>
      <c r="C27" s="7">
        <v>1</v>
      </c>
      <c r="D27" s="7" t="s">
        <v>25</v>
      </c>
      <c r="E27" s="5">
        <f>E17</f>
        <v>5.21E-2</v>
      </c>
      <c r="F27" s="5" t="str">
        <f>D27</f>
        <v>Lid</v>
      </c>
      <c r="G27" s="5">
        <f>C27*E27</f>
        <v>5.21E-2</v>
      </c>
      <c r="I27" s="7" t="s">
        <v>49</v>
      </c>
      <c r="J27" s="7">
        <v>1</v>
      </c>
      <c r="K27" s="7" t="s">
        <v>45</v>
      </c>
      <c r="L27" s="5">
        <f>'Food Prices'!J31</f>
        <v>0.3115</v>
      </c>
      <c r="M27" s="5" t="str">
        <f>K27</f>
        <v>packet</v>
      </c>
      <c r="N27" s="5">
        <f>J27*L27</f>
        <v>0.3115</v>
      </c>
    </row>
    <row r="28" spans="2:14" x14ac:dyDescent="0.35">
      <c r="I28" s="7" t="s">
        <v>12</v>
      </c>
      <c r="J28" s="7">
        <v>1</v>
      </c>
      <c r="K28" s="7" t="s">
        <v>16</v>
      </c>
      <c r="L28" s="5">
        <f>L19</f>
        <v>3.3979999999999996E-2</v>
      </c>
      <c r="M28" s="5" t="str">
        <f>K28</f>
        <v>Container</v>
      </c>
      <c r="N28" s="5">
        <f>J28*L28</f>
        <v>3.3979999999999996E-2</v>
      </c>
    </row>
    <row r="29" spans="2:14" ht="15.5" x14ac:dyDescent="0.35">
      <c r="B29" s="119" t="s">
        <v>9</v>
      </c>
      <c r="C29" s="120"/>
      <c r="D29" s="121"/>
      <c r="E29" s="31" t="s">
        <v>7</v>
      </c>
      <c r="F29" s="32"/>
      <c r="G29" s="30">
        <f>SUM(G33:G36)</f>
        <v>2.9200884375000005</v>
      </c>
    </row>
    <row r="30" spans="2:14" ht="15.5" x14ac:dyDescent="0.35">
      <c r="B30" s="9"/>
      <c r="G30" s="8"/>
      <c r="I30" s="128" t="s">
        <v>55</v>
      </c>
      <c r="J30" s="128"/>
      <c r="K30" s="128"/>
      <c r="L30" s="129" t="s">
        <v>7</v>
      </c>
      <c r="M30" s="129"/>
      <c r="N30" s="30">
        <f>SUM(N34:N37)</f>
        <v>5.6960663559090907</v>
      </c>
    </row>
    <row r="31" spans="2:14" x14ac:dyDescent="0.35">
      <c r="B31" s="10"/>
      <c r="C31" s="124" t="s">
        <v>13</v>
      </c>
      <c r="D31" s="125"/>
      <c r="E31" s="33" t="s">
        <v>14</v>
      </c>
      <c r="F31" s="34"/>
      <c r="G31" s="5" t="s">
        <v>6</v>
      </c>
      <c r="I31" s="9"/>
      <c r="N31" s="8"/>
    </row>
    <row r="32" spans="2:14" x14ac:dyDescent="0.35">
      <c r="B32" s="5" t="s">
        <v>10</v>
      </c>
      <c r="C32" s="5" t="s">
        <v>2</v>
      </c>
      <c r="D32" s="5" t="s">
        <v>1</v>
      </c>
      <c r="E32" s="5" t="s">
        <v>11</v>
      </c>
      <c r="F32" s="5" t="s">
        <v>1</v>
      </c>
      <c r="G32" s="5" t="s">
        <v>15</v>
      </c>
      <c r="I32" s="10"/>
      <c r="J32" s="126" t="s">
        <v>13</v>
      </c>
      <c r="K32" s="126"/>
      <c r="L32" s="126" t="s">
        <v>14</v>
      </c>
      <c r="M32" s="126"/>
      <c r="N32" s="5" t="s">
        <v>6</v>
      </c>
    </row>
    <row r="33" spans="2:14" x14ac:dyDescent="0.35">
      <c r="B33" s="7" t="s">
        <v>9</v>
      </c>
      <c r="C33" s="7">
        <v>5</v>
      </c>
      <c r="D33" s="7" t="s">
        <v>30</v>
      </c>
      <c r="E33" s="5">
        <f>'Food Prices'!P60</f>
        <v>0.49375000000000002</v>
      </c>
      <c r="F33" s="5" t="str">
        <f>D33</f>
        <v>ct</v>
      </c>
      <c r="G33" s="5">
        <f>C33*E33</f>
        <v>2.46875</v>
      </c>
      <c r="I33" s="5" t="s">
        <v>10</v>
      </c>
      <c r="J33" s="5" t="s">
        <v>2</v>
      </c>
      <c r="K33" s="5" t="s">
        <v>1</v>
      </c>
      <c r="L33" s="5" t="s">
        <v>11</v>
      </c>
      <c r="M33" s="5" t="s">
        <v>1</v>
      </c>
      <c r="N33" s="5" t="s">
        <v>15</v>
      </c>
    </row>
    <row r="34" spans="2:14" x14ac:dyDescent="0.35">
      <c r="B34" s="7" t="s">
        <v>29</v>
      </c>
      <c r="C34" s="7">
        <v>1</v>
      </c>
      <c r="D34" s="7" t="s">
        <v>31</v>
      </c>
      <c r="E34" s="5">
        <f>Sides!G35</f>
        <v>0.1552221875</v>
      </c>
      <c r="F34" s="5" t="str">
        <f>D34</f>
        <v>side</v>
      </c>
      <c r="G34" s="5">
        <f>C34*E34</f>
        <v>0.1552221875</v>
      </c>
      <c r="I34" s="7" t="s">
        <v>47</v>
      </c>
      <c r="J34" s="7">
        <v>6</v>
      </c>
      <c r="K34" s="7" t="s">
        <v>30</v>
      </c>
      <c r="L34" s="5">
        <f>'Food Prices'!P61</f>
        <v>0.84308062500000003</v>
      </c>
      <c r="M34" s="5" t="str">
        <f>K34</f>
        <v>ct</v>
      </c>
      <c r="N34" s="5">
        <f>J34*L34</f>
        <v>5.0584837500000006</v>
      </c>
    </row>
    <row r="35" spans="2:14" x14ac:dyDescent="0.35">
      <c r="B35" s="7" t="s">
        <v>32</v>
      </c>
      <c r="C35" s="7">
        <v>1</v>
      </c>
      <c r="D35" s="7" t="s">
        <v>31</v>
      </c>
      <c r="E35" s="5">
        <f>Sides!G27</f>
        <v>0.26213625000000002</v>
      </c>
      <c r="F35" s="5" t="str">
        <f>D35</f>
        <v>side</v>
      </c>
      <c r="G35" s="5">
        <f>C35*E35</f>
        <v>0.26213625000000002</v>
      </c>
      <c r="I35" s="7" t="s">
        <v>56</v>
      </c>
      <c r="J35" s="7">
        <v>2</v>
      </c>
      <c r="K35" s="7" t="s">
        <v>17</v>
      </c>
      <c r="L35" s="5">
        <f>Recipes!N41</f>
        <v>0.14605130295454546</v>
      </c>
      <c r="M35" s="5" t="str">
        <f>K35</f>
        <v>Oz</v>
      </c>
      <c r="N35" s="5">
        <f>J35*L35</f>
        <v>0.29210260590909093</v>
      </c>
    </row>
    <row r="36" spans="2:14" x14ac:dyDescent="0.35">
      <c r="B36" s="7" t="s">
        <v>12</v>
      </c>
      <c r="C36" s="7">
        <v>1</v>
      </c>
      <c r="D36" s="7" t="s">
        <v>16</v>
      </c>
      <c r="E36" s="5">
        <f>E8</f>
        <v>3.3979999999999996E-2</v>
      </c>
      <c r="F36" s="5" t="str">
        <f>D36</f>
        <v>Container</v>
      </c>
      <c r="G36" s="5">
        <f>C36*E36</f>
        <v>3.3979999999999996E-2</v>
      </c>
      <c r="I36" s="7" t="s">
        <v>49</v>
      </c>
      <c r="J36" s="7">
        <v>1</v>
      </c>
      <c r="K36" s="7" t="s">
        <v>45</v>
      </c>
      <c r="L36" s="5">
        <f>'Food Prices'!J31</f>
        <v>0.3115</v>
      </c>
      <c r="M36" s="5" t="str">
        <f>K36</f>
        <v>packet</v>
      </c>
      <c r="N36" s="5">
        <f>J36*L36</f>
        <v>0.3115</v>
      </c>
    </row>
    <row r="37" spans="2:14" x14ac:dyDescent="0.35">
      <c r="I37" s="7" t="s">
        <v>12</v>
      </c>
      <c r="J37" s="7">
        <v>1</v>
      </c>
      <c r="K37" s="7" t="s">
        <v>16</v>
      </c>
      <c r="L37" s="5">
        <f>L28</f>
        <v>3.3979999999999996E-2</v>
      </c>
      <c r="M37" s="5" t="str">
        <f>K37</f>
        <v>Container</v>
      </c>
      <c r="N37" s="5">
        <f>J37*L37</f>
        <v>3.3979999999999996E-2</v>
      </c>
    </row>
    <row r="38" spans="2:14" ht="15.5" x14ac:dyDescent="0.35">
      <c r="B38" s="119" t="s">
        <v>33</v>
      </c>
      <c r="C38" s="120"/>
      <c r="D38" s="121"/>
      <c r="E38" s="31" t="s">
        <v>7</v>
      </c>
      <c r="F38" s="32"/>
      <c r="G38" s="30">
        <f>SUM(G42:G46)</f>
        <v>3.3199560069444445</v>
      </c>
    </row>
    <row r="39" spans="2:14" ht="15.5" x14ac:dyDescent="0.35">
      <c r="B39" s="9"/>
      <c r="G39" s="8"/>
      <c r="I39" s="128" t="s">
        <v>57</v>
      </c>
      <c r="J39" s="128"/>
      <c r="K39" s="128"/>
      <c r="L39" s="129" t="s">
        <v>7</v>
      </c>
      <c r="M39" s="129"/>
      <c r="N39" s="30">
        <f>SUM(N43:N46)</f>
        <v>11.222495625000001</v>
      </c>
    </row>
    <row r="40" spans="2:14" x14ac:dyDescent="0.35">
      <c r="B40" s="10"/>
      <c r="C40" s="124" t="s">
        <v>13</v>
      </c>
      <c r="D40" s="125"/>
      <c r="E40" s="124" t="s">
        <v>14</v>
      </c>
      <c r="F40" s="125"/>
      <c r="G40" s="5" t="s">
        <v>6</v>
      </c>
      <c r="I40" s="9"/>
      <c r="N40" s="8"/>
    </row>
    <row r="41" spans="2:14" x14ac:dyDescent="0.35">
      <c r="B41" s="5" t="s">
        <v>10</v>
      </c>
      <c r="C41" s="5" t="s">
        <v>2</v>
      </c>
      <c r="D41" s="5" t="s">
        <v>1</v>
      </c>
      <c r="E41" s="5" t="s">
        <v>11</v>
      </c>
      <c r="F41" s="5" t="s">
        <v>1</v>
      </c>
      <c r="G41" s="5" t="s">
        <v>15</v>
      </c>
      <c r="I41" s="10"/>
      <c r="J41" s="126" t="s">
        <v>13</v>
      </c>
      <c r="K41" s="126"/>
      <c r="L41" s="126" t="s">
        <v>14</v>
      </c>
      <c r="M41" s="126"/>
      <c r="N41" s="5" t="s">
        <v>6</v>
      </c>
    </row>
    <row r="42" spans="2:14" x14ac:dyDescent="0.35">
      <c r="B42" s="7" t="s">
        <v>9</v>
      </c>
      <c r="C42" s="7">
        <v>5</v>
      </c>
      <c r="D42" s="7" t="s">
        <v>30</v>
      </c>
      <c r="E42" s="5">
        <f>'Food Prices'!P60</f>
        <v>0.49375000000000002</v>
      </c>
      <c r="F42" s="5" t="str">
        <f>D42</f>
        <v>ct</v>
      </c>
      <c r="G42" s="5">
        <f>C42*E42</f>
        <v>2.46875</v>
      </c>
      <c r="I42" s="5" t="s">
        <v>10</v>
      </c>
      <c r="J42" s="5" t="s">
        <v>2</v>
      </c>
      <c r="K42" s="5" t="s">
        <v>1</v>
      </c>
      <c r="L42" s="5" t="s">
        <v>11</v>
      </c>
      <c r="M42" s="5" t="s">
        <v>1</v>
      </c>
      <c r="N42" s="5" t="s">
        <v>15</v>
      </c>
    </row>
    <row r="43" spans="2:14" x14ac:dyDescent="0.35">
      <c r="B43" s="7" t="s">
        <v>29</v>
      </c>
      <c r="C43" s="7">
        <v>1</v>
      </c>
      <c r="D43" s="7" t="s">
        <v>40</v>
      </c>
      <c r="E43" s="5">
        <f>E34</f>
        <v>0.1552221875</v>
      </c>
      <c r="F43" s="5" t="str">
        <f>D43</f>
        <v>2-oz side</v>
      </c>
      <c r="G43" s="5">
        <f>C43*E43</f>
        <v>0.1552221875</v>
      </c>
      <c r="I43" s="7" t="s">
        <v>47</v>
      </c>
      <c r="J43" s="7">
        <v>12</v>
      </c>
      <c r="K43" s="7" t="s">
        <v>30</v>
      </c>
      <c r="L43" s="5">
        <f>'Food Prices'!P61</f>
        <v>0.84308062500000003</v>
      </c>
      <c r="M43" s="5" t="str">
        <f>K43</f>
        <v>ct</v>
      </c>
      <c r="N43" s="5">
        <f>J43*L43</f>
        <v>10.116967500000001</v>
      </c>
    </row>
    <row r="44" spans="2:14" x14ac:dyDescent="0.35">
      <c r="B44" s="7" t="s">
        <v>32</v>
      </c>
      <c r="C44" s="7">
        <v>1</v>
      </c>
      <c r="D44" s="7" t="s">
        <v>40</v>
      </c>
      <c r="E44" s="5">
        <f>E35</f>
        <v>0.26213625000000002</v>
      </c>
      <c r="F44" s="5" t="str">
        <f>D44</f>
        <v>2-oz side</v>
      </c>
      <c r="G44" s="5">
        <f>C44*E44</f>
        <v>0.26213625000000002</v>
      </c>
      <c r="I44" s="7" t="s">
        <v>48</v>
      </c>
      <c r="J44" s="7">
        <v>4</v>
      </c>
      <c r="K44" s="7" t="s">
        <v>17</v>
      </c>
      <c r="L44" s="5">
        <f>'Food Prices'!L95</f>
        <v>0.10251953125</v>
      </c>
      <c r="M44" s="5" t="str">
        <f>K44</f>
        <v>Oz</v>
      </c>
      <c r="N44" s="5">
        <f>J44*L44</f>
        <v>0.41007812500000002</v>
      </c>
    </row>
    <row r="45" spans="2:14" x14ac:dyDescent="0.35">
      <c r="B45" s="7" t="s">
        <v>5</v>
      </c>
      <c r="C45" s="7">
        <v>6.375</v>
      </c>
      <c r="D45" s="7" t="s">
        <v>17</v>
      </c>
      <c r="E45" s="5">
        <f>'Food Prices'!L44</f>
        <v>5.6689814814814811E-2</v>
      </c>
      <c r="F45" s="5" t="str">
        <f>D45</f>
        <v>Oz</v>
      </c>
      <c r="G45" s="5">
        <f>C45*E45</f>
        <v>0.3613975694444444</v>
      </c>
      <c r="I45" s="7" t="s">
        <v>49</v>
      </c>
      <c r="J45" s="7">
        <v>2</v>
      </c>
      <c r="K45" s="7" t="s">
        <v>45</v>
      </c>
      <c r="L45" s="5">
        <f>'Food Prices'!J31</f>
        <v>0.3115</v>
      </c>
      <c r="M45" s="5" t="str">
        <f>K45</f>
        <v>packet</v>
      </c>
      <c r="N45" s="5">
        <f>J45*L45</f>
        <v>0.623</v>
      </c>
    </row>
    <row r="46" spans="2:14" x14ac:dyDescent="0.35">
      <c r="B46" s="7" t="s">
        <v>69</v>
      </c>
      <c r="C46" s="7">
        <v>1</v>
      </c>
      <c r="D46" s="7" t="s">
        <v>16</v>
      </c>
      <c r="E46" s="5">
        <f>'Paper Product Prices'!H15</f>
        <v>7.2450000000000001E-2</v>
      </c>
      <c r="F46" s="5" t="str">
        <f>D46</f>
        <v>Container</v>
      </c>
      <c r="G46" s="5">
        <f>C46*E46</f>
        <v>7.2450000000000001E-2</v>
      </c>
      <c r="I46" s="7" t="s">
        <v>68</v>
      </c>
      <c r="J46" s="7">
        <v>1</v>
      </c>
      <c r="K46" s="7" t="s">
        <v>16</v>
      </c>
      <c r="L46" s="5">
        <f>E46</f>
        <v>7.2450000000000001E-2</v>
      </c>
      <c r="M46" s="5" t="str">
        <f>K46</f>
        <v>Container</v>
      </c>
      <c r="N46" s="5">
        <f>J46*L46</f>
        <v>7.2450000000000001E-2</v>
      </c>
    </row>
    <row r="48" spans="2:14" ht="15.5" x14ac:dyDescent="0.35">
      <c r="B48" s="119" t="s">
        <v>38</v>
      </c>
      <c r="C48" s="120"/>
      <c r="D48" s="121"/>
      <c r="E48" s="122" t="s">
        <v>7</v>
      </c>
      <c r="F48" s="123"/>
      <c r="G48" s="30">
        <f>SUM(G52:G54)</f>
        <v>1.8166388326225107</v>
      </c>
      <c r="I48" s="128" t="s">
        <v>58</v>
      </c>
      <c r="J48" s="128"/>
      <c r="K48" s="128"/>
      <c r="L48" s="129" t="s">
        <v>7</v>
      </c>
      <c r="M48" s="129"/>
      <c r="N48" s="30">
        <f>SUM(N52:N55)</f>
        <v>11.33478078125</v>
      </c>
    </row>
    <row r="49" spans="2:14" x14ac:dyDescent="0.35">
      <c r="B49" s="9"/>
      <c r="G49" s="8"/>
      <c r="I49" s="9"/>
      <c r="N49" s="8"/>
    </row>
    <row r="50" spans="2:14" x14ac:dyDescent="0.35">
      <c r="B50" s="10"/>
      <c r="C50" s="124" t="s">
        <v>13</v>
      </c>
      <c r="D50" s="125"/>
      <c r="E50" s="124" t="s">
        <v>14</v>
      </c>
      <c r="F50" s="125"/>
      <c r="G50" s="5" t="s">
        <v>6</v>
      </c>
      <c r="I50" s="10"/>
      <c r="J50" s="126" t="s">
        <v>13</v>
      </c>
      <c r="K50" s="126"/>
      <c r="L50" s="126" t="s">
        <v>14</v>
      </c>
      <c r="M50" s="126"/>
      <c r="N50" s="5" t="s">
        <v>6</v>
      </c>
    </row>
    <row r="51" spans="2:14" x14ac:dyDescent="0.35">
      <c r="B51" s="5" t="s">
        <v>10</v>
      </c>
      <c r="C51" s="5" t="s">
        <v>2</v>
      </c>
      <c r="D51" s="5" t="s">
        <v>1</v>
      </c>
      <c r="E51" s="5" t="s">
        <v>11</v>
      </c>
      <c r="F51" s="5" t="s">
        <v>1</v>
      </c>
      <c r="G51" s="5" t="s">
        <v>15</v>
      </c>
      <c r="I51" s="5" t="s">
        <v>10</v>
      </c>
      <c r="J51" s="5" t="s">
        <v>2</v>
      </c>
      <c r="K51" s="5" t="s">
        <v>1</v>
      </c>
      <c r="L51" s="5" t="s">
        <v>11</v>
      </c>
      <c r="M51" s="5" t="s">
        <v>1</v>
      </c>
      <c r="N51" s="5" t="s">
        <v>15</v>
      </c>
    </row>
    <row r="52" spans="2:14" x14ac:dyDescent="0.35">
      <c r="B52" s="7" t="s">
        <v>38</v>
      </c>
      <c r="C52" s="7">
        <v>5</v>
      </c>
      <c r="D52" s="7" t="s">
        <v>30</v>
      </c>
      <c r="E52" s="5">
        <f>'Food Prices'!P49</f>
        <v>0.32910937500000004</v>
      </c>
      <c r="F52" s="5" t="str">
        <f>D52</f>
        <v>ct</v>
      </c>
      <c r="G52" s="5">
        <f>C52*E52</f>
        <v>1.6455468750000002</v>
      </c>
      <c r="I52" s="7" t="s">
        <v>47</v>
      </c>
      <c r="J52" s="7">
        <v>12</v>
      </c>
      <c r="K52" s="7" t="s">
        <v>30</v>
      </c>
      <c r="L52" s="5">
        <f>'Food Prices'!P61</f>
        <v>0.84308062500000003</v>
      </c>
      <c r="M52" s="5" t="str">
        <f>K52</f>
        <v>ct</v>
      </c>
      <c r="N52" s="5">
        <f>J52*L52</f>
        <v>10.116967500000001</v>
      </c>
    </row>
    <row r="53" spans="2:14" x14ac:dyDescent="0.35">
      <c r="B53" s="7" t="s">
        <v>39</v>
      </c>
      <c r="C53" s="7">
        <v>1</v>
      </c>
      <c r="D53" s="7" t="s">
        <v>40</v>
      </c>
      <c r="E53" s="5">
        <f>Sides!G3</f>
        <v>0.13711195762251066</v>
      </c>
      <c r="F53" s="5" t="str">
        <f>D53</f>
        <v>2-oz side</v>
      </c>
      <c r="G53" s="5">
        <f>C53*E53</f>
        <v>0.13711195762251066</v>
      </c>
      <c r="I53" s="7" t="s">
        <v>53</v>
      </c>
      <c r="J53" s="7">
        <v>5</v>
      </c>
      <c r="K53" s="7" t="s">
        <v>17</v>
      </c>
      <c r="L53" s="5">
        <f>'Food Prices'!L98</f>
        <v>0.10447265625</v>
      </c>
      <c r="M53" s="5" t="str">
        <f>K53</f>
        <v>Oz</v>
      </c>
      <c r="N53" s="5">
        <f>J53*L53</f>
        <v>0.52236328124999998</v>
      </c>
    </row>
    <row r="54" spans="2:14" x14ac:dyDescent="0.35">
      <c r="B54" s="7" t="s">
        <v>12</v>
      </c>
      <c r="C54" s="7">
        <v>1</v>
      </c>
      <c r="D54" s="7" t="s">
        <v>16</v>
      </c>
      <c r="E54" s="5">
        <f>E36</f>
        <v>3.3979999999999996E-2</v>
      </c>
      <c r="F54" s="5" t="str">
        <f>D54</f>
        <v>Container</v>
      </c>
      <c r="G54" s="5">
        <f>C54*E54</f>
        <v>3.3979999999999996E-2</v>
      </c>
      <c r="I54" s="7" t="s">
        <v>49</v>
      </c>
      <c r="J54" s="7">
        <v>2</v>
      </c>
      <c r="K54" s="7" t="s">
        <v>45</v>
      </c>
      <c r="L54" s="5">
        <f>'Food Prices'!J31</f>
        <v>0.3115</v>
      </c>
      <c r="M54" s="5" t="str">
        <f>K54</f>
        <v>packet</v>
      </c>
      <c r="N54" s="5">
        <f>J54*L54</f>
        <v>0.623</v>
      </c>
    </row>
    <row r="55" spans="2:14" x14ac:dyDescent="0.35">
      <c r="I55" s="7" t="s">
        <v>69</v>
      </c>
      <c r="J55" s="7">
        <v>1</v>
      </c>
      <c r="K55" s="7" t="s">
        <v>16</v>
      </c>
      <c r="L55" s="5">
        <f>L46</f>
        <v>7.2450000000000001E-2</v>
      </c>
      <c r="M55" s="5" t="str">
        <f>K55</f>
        <v>Container</v>
      </c>
      <c r="N55" s="5">
        <f>J55*L55</f>
        <v>7.2450000000000001E-2</v>
      </c>
    </row>
    <row r="56" spans="2:14" ht="15.5" x14ac:dyDescent="0.35">
      <c r="B56" s="119" t="s">
        <v>41</v>
      </c>
      <c r="C56" s="120"/>
      <c r="D56" s="121"/>
      <c r="E56" s="122" t="s">
        <v>7</v>
      </c>
      <c r="F56" s="123"/>
      <c r="G56" s="30">
        <f>SUM(G60:G62)</f>
        <v>1.3497919576225104</v>
      </c>
    </row>
    <row r="57" spans="2:14" ht="15.5" x14ac:dyDescent="0.35">
      <c r="B57" s="9"/>
      <c r="G57" s="8"/>
      <c r="I57" s="128" t="s">
        <v>59</v>
      </c>
      <c r="J57" s="128"/>
      <c r="K57" s="128"/>
      <c r="L57" s="129" t="s">
        <v>7</v>
      </c>
      <c r="M57" s="129"/>
      <c r="N57" s="30">
        <f>SUM(N61:N64)</f>
        <v>11.1521440625</v>
      </c>
    </row>
    <row r="58" spans="2:14" x14ac:dyDescent="0.35">
      <c r="B58" s="10"/>
      <c r="C58" s="124" t="s">
        <v>13</v>
      </c>
      <c r="D58" s="125"/>
      <c r="E58" s="124" t="s">
        <v>14</v>
      </c>
      <c r="F58" s="125"/>
      <c r="G58" s="5" t="s">
        <v>6</v>
      </c>
      <c r="I58" s="9"/>
      <c r="N58" s="8"/>
    </row>
    <row r="59" spans="2:14" x14ac:dyDescent="0.35">
      <c r="B59" s="5" t="s">
        <v>10</v>
      </c>
      <c r="C59" s="5" t="s">
        <v>2</v>
      </c>
      <c r="D59" s="5" t="s">
        <v>1</v>
      </c>
      <c r="E59" s="5" t="s">
        <v>11</v>
      </c>
      <c r="F59" s="5" t="s">
        <v>1</v>
      </c>
      <c r="G59" s="5" t="s">
        <v>15</v>
      </c>
      <c r="I59" s="10"/>
      <c r="J59" s="126" t="s">
        <v>13</v>
      </c>
      <c r="K59" s="126"/>
      <c r="L59" s="126" t="s">
        <v>14</v>
      </c>
      <c r="M59" s="126"/>
      <c r="N59" s="5" t="s">
        <v>6</v>
      </c>
    </row>
    <row r="60" spans="2:14" x14ac:dyDescent="0.35">
      <c r="B60" s="7" t="s">
        <v>42</v>
      </c>
      <c r="C60" s="7">
        <v>8</v>
      </c>
      <c r="D60" s="7" t="s">
        <v>30</v>
      </c>
      <c r="E60" s="5">
        <f>'Food Prices'!P47</f>
        <v>0.14733749999999998</v>
      </c>
      <c r="F60" s="5" t="str">
        <f>D60</f>
        <v>ct</v>
      </c>
      <c r="G60" s="5">
        <f>C60*E60</f>
        <v>1.1786999999999999</v>
      </c>
      <c r="I60" s="5" t="s">
        <v>10</v>
      </c>
      <c r="J60" s="5" t="s">
        <v>2</v>
      </c>
      <c r="K60" s="5" t="s">
        <v>1</v>
      </c>
      <c r="L60" s="5" t="s">
        <v>11</v>
      </c>
      <c r="M60" s="5" t="s">
        <v>1</v>
      </c>
      <c r="N60" s="5" t="s">
        <v>15</v>
      </c>
    </row>
    <row r="61" spans="2:14" x14ac:dyDescent="0.35">
      <c r="B61" s="7" t="s">
        <v>39</v>
      </c>
      <c r="C61" s="7">
        <v>1</v>
      </c>
      <c r="D61" s="7" t="s">
        <v>40</v>
      </c>
      <c r="E61" s="5">
        <f>Sides!G3</f>
        <v>0.13711195762251066</v>
      </c>
      <c r="F61" s="5" t="str">
        <f>D61</f>
        <v>2-oz side</v>
      </c>
      <c r="G61" s="5">
        <f>C61*E61</f>
        <v>0.13711195762251066</v>
      </c>
      <c r="I61" s="7" t="s">
        <v>47</v>
      </c>
      <c r="J61" s="7">
        <v>12</v>
      </c>
      <c r="K61" s="7" t="s">
        <v>30</v>
      </c>
      <c r="L61" s="5">
        <f>'Food Prices'!P61</f>
        <v>0.84308062500000003</v>
      </c>
      <c r="M61" s="5" t="str">
        <f>K61</f>
        <v>ct</v>
      </c>
      <c r="N61" s="5">
        <f>J61*L61</f>
        <v>10.116967500000001</v>
      </c>
    </row>
    <row r="62" spans="2:14" x14ac:dyDescent="0.35">
      <c r="B62" s="7" t="s">
        <v>12</v>
      </c>
      <c r="C62" s="7">
        <v>1</v>
      </c>
      <c r="D62" s="7" t="s">
        <v>16</v>
      </c>
      <c r="E62" s="5">
        <f>E54</f>
        <v>3.3979999999999996E-2</v>
      </c>
      <c r="F62" s="5" t="str">
        <f>D62</f>
        <v>Container</v>
      </c>
      <c r="G62" s="5">
        <f>C62*E62</f>
        <v>3.3979999999999996E-2</v>
      </c>
      <c r="I62" s="7" t="s">
        <v>54</v>
      </c>
      <c r="J62" s="7">
        <v>6</v>
      </c>
      <c r="K62" s="7" t="s">
        <v>17</v>
      </c>
      <c r="L62" s="5">
        <f>'Food Prices'!L93</f>
        <v>5.6621093749999997E-2</v>
      </c>
      <c r="M62" s="5" t="str">
        <f>K62</f>
        <v>Oz</v>
      </c>
      <c r="N62" s="5">
        <f>J62*L62</f>
        <v>0.3397265625</v>
      </c>
    </row>
    <row r="63" spans="2:14" x14ac:dyDescent="0.35">
      <c r="I63" s="7" t="s">
        <v>49</v>
      </c>
      <c r="J63" s="7">
        <v>2</v>
      </c>
      <c r="K63" s="7" t="s">
        <v>45</v>
      </c>
      <c r="L63" s="5">
        <f>'Food Prices'!J31</f>
        <v>0.3115</v>
      </c>
      <c r="M63" s="5" t="str">
        <f>K63</f>
        <v>packet</v>
      </c>
      <c r="N63" s="5">
        <f>J63*L63</f>
        <v>0.623</v>
      </c>
    </row>
    <row r="64" spans="2:14" ht="15.5" x14ac:dyDescent="0.35">
      <c r="B64" s="128" t="s">
        <v>34</v>
      </c>
      <c r="C64" s="128"/>
      <c r="D64" s="128"/>
      <c r="E64" s="129" t="s">
        <v>7</v>
      </c>
      <c r="F64" s="129"/>
      <c r="G64" s="30">
        <f>SUM(G68:G70)</f>
        <v>1.8250224999999998</v>
      </c>
      <c r="I64" s="7" t="s">
        <v>69</v>
      </c>
      <c r="J64" s="7">
        <v>1</v>
      </c>
      <c r="K64" s="7" t="s">
        <v>16</v>
      </c>
      <c r="L64" s="5">
        <f>L55</f>
        <v>7.2450000000000001E-2</v>
      </c>
      <c r="M64" s="5" t="str">
        <f>K64</f>
        <v>Container</v>
      </c>
      <c r="N64" s="5">
        <f>J64*L64</f>
        <v>7.2450000000000001E-2</v>
      </c>
    </row>
    <row r="65" spans="2:14" x14ac:dyDescent="0.35">
      <c r="B65" s="9"/>
      <c r="G65" s="8"/>
    </row>
    <row r="66" spans="2:14" ht="15.5" x14ac:dyDescent="0.35">
      <c r="B66" s="10"/>
      <c r="C66" s="126" t="s">
        <v>13</v>
      </c>
      <c r="D66" s="126"/>
      <c r="E66" s="126" t="s">
        <v>14</v>
      </c>
      <c r="F66" s="126"/>
      <c r="G66" s="5" t="s">
        <v>6</v>
      </c>
      <c r="I66" s="128" t="s">
        <v>60</v>
      </c>
      <c r="J66" s="128"/>
      <c r="K66" s="128"/>
      <c r="L66" s="129" t="s">
        <v>7</v>
      </c>
      <c r="M66" s="129"/>
      <c r="N66" s="30">
        <f>SUM(N70:N73)</f>
        <v>11.396622711818182</v>
      </c>
    </row>
    <row r="67" spans="2:14" x14ac:dyDescent="0.35">
      <c r="B67" s="5" t="s">
        <v>10</v>
      </c>
      <c r="C67" s="5" t="s">
        <v>2</v>
      </c>
      <c r="D67" s="5" t="s">
        <v>1</v>
      </c>
      <c r="E67" s="5" t="s">
        <v>11</v>
      </c>
      <c r="F67" s="5" t="s">
        <v>1</v>
      </c>
      <c r="G67" s="5" t="s">
        <v>15</v>
      </c>
      <c r="I67" s="9"/>
      <c r="N67" s="8"/>
    </row>
    <row r="68" spans="2:14" x14ac:dyDescent="0.35">
      <c r="B68" s="7" t="s">
        <v>34</v>
      </c>
      <c r="C68" s="7">
        <v>10</v>
      </c>
      <c r="D68" s="7" t="s">
        <v>17</v>
      </c>
      <c r="E68" s="5">
        <f>'Food Prices'!L50</f>
        <v>0.1436875</v>
      </c>
      <c r="F68" s="5" t="str">
        <f>D68</f>
        <v>Oz</v>
      </c>
      <c r="G68" s="5">
        <f>C68*E68</f>
        <v>1.4368749999999999</v>
      </c>
      <c r="I68" s="10"/>
      <c r="J68" s="126" t="s">
        <v>13</v>
      </c>
      <c r="K68" s="126"/>
      <c r="L68" s="126" t="s">
        <v>14</v>
      </c>
      <c r="M68" s="126"/>
      <c r="N68" s="5" t="s">
        <v>6</v>
      </c>
    </row>
    <row r="69" spans="2:14" x14ac:dyDescent="0.35">
      <c r="B69" s="7" t="s">
        <v>35</v>
      </c>
      <c r="C69" s="7">
        <v>1</v>
      </c>
      <c r="D69" s="7" t="s">
        <v>40</v>
      </c>
      <c r="E69" s="5">
        <f>Sides!G43</f>
        <v>0.35416750000000002</v>
      </c>
      <c r="F69" s="5" t="str">
        <f>D69</f>
        <v>2-oz side</v>
      </c>
      <c r="G69" s="5">
        <f>C69*E69</f>
        <v>0.35416750000000002</v>
      </c>
      <c r="I69" s="5" t="s">
        <v>10</v>
      </c>
      <c r="J69" s="5" t="s">
        <v>2</v>
      </c>
      <c r="K69" s="5" t="s">
        <v>1</v>
      </c>
      <c r="L69" s="5" t="s">
        <v>11</v>
      </c>
      <c r="M69" s="5" t="s">
        <v>1</v>
      </c>
      <c r="N69" s="5" t="s">
        <v>15</v>
      </c>
    </row>
    <row r="70" spans="2:14" x14ac:dyDescent="0.35">
      <c r="B70" s="7" t="s">
        <v>12</v>
      </c>
      <c r="C70" s="7">
        <v>1</v>
      </c>
      <c r="D70" s="7" t="s">
        <v>16</v>
      </c>
      <c r="E70" s="5">
        <f>E62</f>
        <v>3.3979999999999996E-2</v>
      </c>
      <c r="F70" s="5" t="str">
        <f>D70</f>
        <v>Container</v>
      </c>
      <c r="G70" s="5">
        <f>C70*E70</f>
        <v>3.3979999999999996E-2</v>
      </c>
      <c r="I70" s="7" t="s">
        <v>47</v>
      </c>
      <c r="J70" s="7">
        <v>12</v>
      </c>
      <c r="K70" s="7" t="s">
        <v>30</v>
      </c>
      <c r="L70" s="5">
        <f>'Food Prices'!P61</f>
        <v>0.84308062500000003</v>
      </c>
      <c r="M70" s="5" t="str">
        <f>K70</f>
        <v>ct</v>
      </c>
      <c r="N70" s="5">
        <f>J70*L70</f>
        <v>10.116967500000001</v>
      </c>
    </row>
    <row r="71" spans="2:14" x14ac:dyDescent="0.35">
      <c r="I71" s="7" t="s">
        <v>56</v>
      </c>
      <c r="J71" s="7">
        <v>4</v>
      </c>
      <c r="K71" s="7" t="s">
        <v>17</v>
      </c>
      <c r="L71" s="5">
        <f>Recipes!N41</f>
        <v>0.14605130295454546</v>
      </c>
      <c r="M71" s="5" t="str">
        <f>K71</f>
        <v>Oz</v>
      </c>
      <c r="N71" s="5">
        <f>J71*L71</f>
        <v>0.58420521181818186</v>
      </c>
    </row>
    <row r="72" spans="2:14" ht="15.5" x14ac:dyDescent="0.35">
      <c r="B72" s="128" t="s">
        <v>43</v>
      </c>
      <c r="C72" s="128"/>
      <c r="D72" s="128"/>
      <c r="E72" s="129" t="s">
        <v>7</v>
      </c>
      <c r="F72" s="129"/>
      <c r="G72" s="30">
        <f>SUM(G76:G78)</f>
        <v>1.7017612499999999</v>
      </c>
      <c r="I72" s="7" t="s">
        <v>49</v>
      </c>
      <c r="J72" s="7">
        <v>2</v>
      </c>
      <c r="K72" s="7" t="s">
        <v>45</v>
      </c>
      <c r="L72" s="5">
        <f>'Food Prices'!J31</f>
        <v>0.3115</v>
      </c>
      <c r="M72" s="5" t="str">
        <f>K72</f>
        <v>packet</v>
      </c>
      <c r="N72" s="5">
        <f>J72*L72</f>
        <v>0.623</v>
      </c>
    </row>
    <row r="73" spans="2:14" x14ac:dyDescent="0.35">
      <c r="B73" s="9"/>
      <c r="G73" s="8"/>
      <c r="I73" s="7" t="s">
        <v>69</v>
      </c>
      <c r="J73" s="7">
        <v>1</v>
      </c>
      <c r="K73" s="7" t="s">
        <v>16</v>
      </c>
      <c r="L73" s="5">
        <f>L64</f>
        <v>7.2450000000000001E-2</v>
      </c>
      <c r="M73" s="5" t="str">
        <f>K73</f>
        <v>Container</v>
      </c>
      <c r="N73" s="5">
        <f>J73*L73</f>
        <v>7.2450000000000001E-2</v>
      </c>
    </row>
    <row r="74" spans="2:14" x14ac:dyDescent="0.35">
      <c r="B74" s="10"/>
      <c r="C74" s="126" t="s">
        <v>13</v>
      </c>
      <c r="D74" s="126"/>
      <c r="E74" s="126" t="s">
        <v>14</v>
      </c>
      <c r="F74" s="126"/>
      <c r="G74" s="5" t="s">
        <v>6</v>
      </c>
    </row>
    <row r="75" spans="2:14" ht="15.5" x14ac:dyDescent="0.35">
      <c r="B75" s="5" t="s">
        <v>10</v>
      </c>
      <c r="C75" s="5" t="s">
        <v>2</v>
      </c>
      <c r="D75" s="5" t="s">
        <v>1</v>
      </c>
      <c r="E75" s="5" t="s">
        <v>11</v>
      </c>
      <c r="F75" s="5" t="s">
        <v>1</v>
      </c>
      <c r="G75" s="5" t="s">
        <v>15</v>
      </c>
      <c r="I75" s="128" t="s">
        <v>63</v>
      </c>
      <c r="J75" s="128"/>
      <c r="K75" s="128"/>
      <c r="L75" s="129" t="s">
        <v>7</v>
      </c>
      <c r="M75" s="129"/>
      <c r="N75" s="30">
        <f>SUM(N79:N84)</f>
        <v>0.44715112766369025</v>
      </c>
    </row>
    <row r="76" spans="2:14" x14ac:dyDescent="0.35">
      <c r="B76" s="7" t="s">
        <v>43</v>
      </c>
      <c r="C76" s="7">
        <v>9</v>
      </c>
      <c r="D76" s="7" t="s">
        <v>17</v>
      </c>
      <c r="E76" s="5">
        <f>'Food Prices'!L45</f>
        <v>0.15619791666666666</v>
      </c>
      <c r="F76" s="5" t="str">
        <f>D76</f>
        <v>Oz</v>
      </c>
      <c r="G76" s="5">
        <f>C76*E76</f>
        <v>1.40578125</v>
      </c>
      <c r="I76" s="9"/>
      <c r="N76" s="8"/>
    </row>
    <row r="77" spans="2:14" x14ac:dyDescent="0.35">
      <c r="B77" s="7" t="s">
        <v>44</v>
      </c>
      <c r="C77" s="7">
        <v>1</v>
      </c>
      <c r="D77" s="7" t="s">
        <v>45</v>
      </c>
      <c r="E77" s="5">
        <f>'Food Prices'!J40</f>
        <v>0.26200000000000001</v>
      </c>
      <c r="F77" s="5" t="str">
        <f>D77</f>
        <v>packet</v>
      </c>
      <c r="G77" s="5">
        <f>C77*E77</f>
        <v>0.26200000000000001</v>
      </c>
      <c r="I77" s="10"/>
      <c r="J77" s="126" t="s">
        <v>13</v>
      </c>
      <c r="K77" s="126"/>
      <c r="L77" s="126" t="s">
        <v>14</v>
      </c>
      <c r="M77" s="126"/>
      <c r="N77" s="5" t="s">
        <v>6</v>
      </c>
    </row>
    <row r="78" spans="2:14" x14ac:dyDescent="0.35">
      <c r="B78" s="7" t="s">
        <v>12</v>
      </c>
      <c r="C78" s="7">
        <v>1</v>
      </c>
      <c r="D78" s="7" t="s">
        <v>16</v>
      </c>
      <c r="E78" s="5">
        <f>E70</f>
        <v>3.3979999999999996E-2</v>
      </c>
      <c r="F78" s="5" t="str">
        <f>D78</f>
        <v>Container</v>
      </c>
      <c r="G78" s="5">
        <f>C78*E78</f>
        <v>3.3979999999999996E-2</v>
      </c>
      <c r="I78" s="5" t="s">
        <v>10</v>
      </c>
      <c r="J78" s="5" t="s">
        <v>2</v>
      </c>
      <c r="K78" s="5" t="s">
        <v>1</v>
      </c>
      <c r="L78" s="5" t="s">
        <v>11</v>
      </c>
      <c r="M78" s="5" t="s">
        <v>1</v>
      </c>
      <c r="N78" s="5" t="s">
        <v>15</v>
      </c>
    </row>
    <row r="79" spans="2:14" x14ac:dyDescent="0.35">
      <c r="I79" s="7" t="s">
        <v>61</v>
      </c>
      <c r="J79" s="7">
        <v>5.5</v>
      </c>
      <c r="K79" s="7" t="s">
        <v>17</v>
      </c>
      <c r="L79" s="5">
        <f>Recipes!N19</f>
        <v>3.3574516898448738E-2</v>
      </c>
      <c r="M79" s="5" t="str">
        <f>K79</f>
        <v>Oz</v>
      </c>
      <c r="N79" s="5">
        <f>J79*L79</f>
        <v>0.18465984294146806</v>
      </c>
    </row>
    <row r="80" spans="2:14" ht="15.5" x14ac:dyDescent="0.35">
      <c r="B80" s="128" t="s">
        <v>46</v>
      </c>
      <c r="C80" s="128"/>
      <c r="D80" s="128"/>
      <c r="E80" s="129" t="s">
        <v>7</v>
      </c>
      <c r="F80" s="129"/>
      <c r="G80" s="30">
        <f>SUM(G84:G86)</f>
        <v>2.4284209374999999</v>
      </c>
      <c r="I80" s="7" t="s">
        <v>62</v>
      </c>
      <c r="J80" s="7">
        <v>0.5</v>
      </c>
      <c r="K80" s="7" t="s">
        <v>17</v>
      </c>
      <c r="L80" s="5">
        <f>'Food Prices'!J73</f>
        <v>0.14694444444444443</v>
      </c>
      <c r="M80" s="5" t="str">
        <f>K80</f>
        <v>Oz</v>
      </c>
      <c r="N80" s="5">
        <f>J80*L80</f>
        <v>7.3472222222222217E-2</v>
      </c>
    </row>
    <row r="81" spans="2:14" x14ac:dyDescent="0.35">
      <c r="B81" s="9"/>
      <c r="G81" s="8"/>
      <c r="I81" s="7" t="s">
        <v>64</v>
      </c>
      <c r="J81" s="7">
        <v>0.25</v>
      </c>
      <c r="K81" s="7" t="s">
        <v>416</v>
      </c>
      <c r="L81" s="5">
        <f>'Food Prices'!J120</f>
        <v>0.16468749999999999</v>
      </c>
      <c r="M81" s="5" t="str">
        <f t="shared" ref="M81:M83" si="0">K81</f>
        <v>Fluid Oz</v>
      </c>
      <c r="N81" s="5">
        <f t="shared" ref="N81:N83" si="1">J81*L81</f>
        <v>4.1171874999999997E-2</v>
      </c>
    </row>
    <row r="82" spans="2:14" x14ac:dyDescent="0.35">
      <c r="B82" s="10"/>
      <c r="C82" s="126" t="s">
        <v>13</v>
      </c>
      <c r="D82" s="126"/>
      <c r="E82" s="126" t="s">
        <v>14</v>
      </c>
      <c r="F82" s="126"/>
      <c r="G82" s="5" t="s">
        <v>6</v>
      </c>
      <c r="I82" s="7" t="s">
        <v>65</v>
      </c>
      <c r="J82" s="7">
        <v>1</v>
      </c>
      <c r="K82" s="7" t="s">
        <v>416</v>
      </c>
      <c r="L82" s="5">
        <f>'Food Prices'!J74</f>
        <v>0.10375000000000001</v>
      </c>
      <c r="M82" s="5" t="str">
        <f t="shared" si="0"/>
        <v>Fluid Oz</v>
      </c>
      <c r="N82" s="5">
        <f t="shared" si="1"/>
        <v>0.10375000000000001</v>
      </c>
    </row>
    <row r="83" spans="2:14" x14ac:dyDescent="0.35">
      <c r="B83" s="5" t="s">
        <v>10</v>
      </c>
      <c r="C83" s="5" t="s">
        <v>2</v>
      </c>
      <c r="D83" s="5" t="s">
        <v>1</v>
      </c>
      <c r="E83" s="5" t="s">
        <v>11</v>
      </c>
      <c r="F83" s="5" t="s">
        <v>1</v>
      </c>
      <c r="G83" s="5" t="s">
        <v>15</v>
      </c>
      <c r="I83" s="7" t="s">
        <v>66</v>
      </c>
      <c r="J83" s="7">
        <v>0.125</v>
      </c>
      <c r="K83" s="7" t="s">
        <v>17</v>
      </c>
      <c r="L83" s="5">
        <f>'Food Prices'!J117</f>
        <v>8.0937499999999996E-2</v>
      </c>
      <c r="M83" s="5" t="str">
        <f t="shared" si="0"/>
        <v>Oz</v>
      </c>
      <c r="N83" s="5">
        <f t="shared" si="1"/>
        <v>1.0117187499999999E-2</v>
      </c>
    </row>
    <row r="84" spans="2:14" x14ac:dyDescent="0.35">
      <c r="B84" s="7" t="s">
        <v>46</v>
      </c>
      <c r="C84" s="7">
        <v>9.5</v>
      </c>
      <c r="D84" s="7" t="s">
        <v>17</v>
      </c>
      <c r="E84" s="5">
        <f>'Food Prices'!L46</f>
        <v>0.21476562499999999</v>
      </c>
      <c r="F84" s="5" t="str">
        <f>D84</f>
        <v>Oz</v>
      </c>
      <c r="G84" s="5">
        <f>C84*E84</f>
        <v>2.0402734374999998</v>
      </c>
      <c r="I84" s="7" t="s">
        <v>12</v>
      </c>
      <c r="J84" s="7">
        <v>1</v>
      </c>
      <c r="K84" s="7" t="s">
        <v>16</v>
      </c>
      <c r="L84" s="5">
        <f>E86</f>
        <v>3.3979999999999996E-2</v>
      </c>
      <c r="M84" s="5" t="str">
        <f>K84</f>
        <v>Container</v>
      </c>
      <c r="N84" s="5">
        <f>J84*L84</f>
        <v>3.3979999999999996E-2</v>
      </c>
    </row>
    <row r="85" spans="2:14" x14ac:dyDescent="0.35">
      <c r="B85" s="7" t="s">
        <v>35</v>
      </c>
      <c r="C85" s="7">
        <v>1</v>
      </c>
      <c r="D85" s="7" t="s">
        <v>40</v>
      </c>
      <c r="E85" s="5">
        <f>E69</f>
        <v>0.35416750000000002</v>
      </c>
      <c r="F85" s="5" t="str">
        <f>D85</f>
        <v>2-oz side</v>
      </c>
      <c r="G85" s="5">
        <f>C85*E85</f>
        <v>0.35416750000000002</v>
      </c>
    </row>
    <row r="86" spans="2:14" x14ac:dyDescent="0.35">
      <c r="B86" s="7" t="s">
        <v>12</v>
      </c>
      <c r="C86" s="7">
        <v>1</v>
      </c>
      <c r="D86" s="7" t="s">
        <v>16</v>
      </c>
      <c r="E86" s="5">
        <f>E70</f>
        <v>3.3979999999999996E-2</v>
      </c>
      <c r="F86" s="5" t="str">
        <f>D86</f>
        <v>Container</v>
      </c>
      <c r="G86" s="5">
        <f>C86*E86</f>
        <v>3.3979999999999996E-2</v>
      </c>
    </row>
    <row r="88" spans="2:14" ht="15.5" x14ac:dyDescent="0.35">
      <c r="B88" s="128" t="s">
        <v>101</v>
      </c>
      <c r="C88" s="128"/>
      <c r="D88" s="128"/>
      <c r="E88" s="129" t="s">
        <v>7</v>
      </c>
      <c r="F88" s="129"/>
      <c r="G88" s="30">
        <f>SUM(G92:G96)</f>
        <v>1.1202386786201739</v>
      </c>
    </row>
    <row r="89" spans="2:14" x14ac:dyDescent="0.35">
      <c r="B89" s="9"/>
      <c r="G89" s="8"/>
    </row>
    <row r="90" spans="2:14" x14ac:dyDescent="0.35">
      <c r="B90" s="10"/>
      <c r="C90" s="126" t="s">
        <v>13</v>
      </c>
      <c r="D90" s="126"/>
      <c r="E90" s="126" t="s">
        <v>14</v>
      </c>
      <c r="F90" s="126"/>
      <c r="G90" s="5" t="s">
        <v>6</v>
      </c>
    </row>
    <row r="91" spans="2:14" x14ac:dyDescent="0.35">
      <c r="B91" s="5" t="s">
        <v>10</v>
      </c>
      <c r="C91" s="5" t="s">
        <v>2</v>
      </c>
      <c r="D91" s="5" t="s">
        <v>1</v>
      </c>
      <c r="E91" s="5" t="s">
        <v>11</v>
      </c>
      <c r="F91" s="5" t="s">
        <v>1</v>
      </c>
      <c r="G91" s="5" t="s">
        <v>15</v>
      </c>
    </row>
    <row r="92" spans="2:14" x14ac:dyDescent="0.35">
      <c r="B92" s="7" t="s">
        <v>61</v>
      </c>
      <c r="C92" s="7">
        <v>14</v>
      </c>
      <c r="D92" s="7" t="s">
        <v>17</v>
      </c>
      <c r="E92" s="5">
        <f>Recipes!N19</f>
        <v>3.3574516898448738E-2</v>
      </c>
      <c r="F92" s="5" t="str">
        <f>D92</f>
        <v>Oz</v>
      </c>
      <c r="G92" s="5">
        <f>C92*E92</f>
        <v>0.47004323657828234</v>
      </c>
    </row>
    <row r="93" spans="2:14" x14ac:dyDescent="0.35">
      <c r="B93" s="7" t="s">
        <v>85</v>
      </c>
      <c r="C93" s="7">
        <v>1</v>
      </c>
      <c r="D93" s="7" t="s">
        <v>17</v>
      </c>
      <c r="E93" s="5">
        <f>Recipes!N31</f>
        <v>0.16019152679687035</v>
      </c>
      <c r="F93" s="5" t="str">
        <f>D93</f>
        <v>Oz</v>
      </c>
      <c r="G93" s="5">
        <f>C93*E93</f>
        <v>0.16019152679687035</v>
      </c>
    </row>
    <row r="94" spans="2:14" x14ac:dyDescent="0.35">
      <c r="B94" s="7" t="s">
        <v>229</v>
      </c>
      <c r="C94" s="7">
        <v>0.5</v>
      </c>
      <c r="D94" s="7" t="s">
        <v>17</v>
      </c>
      <c r="E94" s="5">
        <f>'Food Prices'!L26</f>
        <v>0.375</v>
      </c>
      <c r="F94" s="5" t="str">
        <f t="shared" ref="F94:F95" si="2">D94</f>
        <v>Oz</v>
      </c>
      <c r="G94" s="5">
        <f t="shared" ref="G94:G95" si="3">C94*E94</f>
        <v>0.1875</v>
      </c>
    </row>
    <row r="95" spans="2:14" x14ac:dyDescent="0.35">
      <c r="B95" s="7" t="s">
        <v>102</v>
      </c>
      <c r="C95" s="7">
        <v>1</v>
      </c>
      <c r="D95" s="7" t="s">
        <v>103</v>
      </c>
      <c r="E95" s="5">
        <f>Sides!N3</f>
        <v>0.23005391524502131</v>
      </c>
      <c r="F95" s="5" t="str">
        <f t="shared" si="2"/>
        <v>4-oz side</v>
      </c>
      <c r="G95" s="5">
        <f t="shared" si="3"/>
        <v>0.23005391524502131</v>
      </c>
    </row>
    <row r="96" spans="2:14" x14ac:dyDescent="0.35">
      <c r="B96" s="7" t="s">
        <v>69</v>
      </c>
      <c r="C96" s="7">
        <v>1</v>
      </c>
      <c r="D96" s="7" t="s">
        <v>16</v>
      </c>
      <c r="E96" s="5">
        <f>'Paper Product Prices'!H15</f>
        <v>7.2450000000000001E-2</v>
      </c>
      <c r="F96" s="5" t="str">
        <f>D96</f>
        <v>Container</v>
      </c>
      <c r="G96" s="5">
        <f>C96*E96</f>
        <v>7.2450000000000001E-2</v>
      </c>
    </row>
  </sheetData>
  <mergeCells count="78">
    <mergeCell ref="C21:D21"/>
    <mergeCell ref="E21:F21"/>
    <mergeCell ref="C5:D5"/>
    <mergeCell ref="E5:F5"/>
    <mergeCell ref="E3:F3"/>
    <mergeCell ref="B3:D3"/>
    <mergeCell ref="B10:D10"/>
    <mergeCell ref="E10:F10"/>
    <mergeCell ref="B1:N1"/>
    <mergeCell ref="C12:D12"/>
    <mergeCell ref="E12:F12"/>
    <mergeCell ref="B19:D19"/>
    <mergeCell ref="E19:F19"/>
    <mergeCell ref="I3:K3"/>
    <mergeCell ref="L3:M3"/>
    <mergeCell ref="J5:K5"/>
    <mergeCell ref="L5:M5"/>
    <mergeCell ref="I12:K12"/>
    <mergeCell ref="L12:M12"/>
    <mergeCell ref="B72:D72"/>
    <mergeCell ref="E72:F72"/>
    <mergeCell ref="C40:D40"/>
    <mergeCell ref="E40:F40"/>
    <mergeCell ref="B48:D48"/>
    <mergeCell ref="E48:F48"/>
    <mergeCell ref="B64:D64"/>
    <mergeCell ref="E64:F64"/>
    <mergeCell ref="C66:D66"/>
    <mergeCell ref="E66:F66"/>
    <mergeCell ref="C74:D74"/>
    <mergeCell ref="E74:F74"/>
    <mergeCell ref="B80:D80"/>
    <mergeCell ref="E80:F80"/>
    <mergeCell ref="C82:D82"/>
    <mergeCell ref="E82:F82"/>
    <mergeCell ref="I30:K30"/>
    <mergeCell ref="L30:M30"/>
    <mergeCell ref="J32:K32"/>
    <mergeCell ref="L32:M32"/>
    <mergeCell ref="J14:K14"/>
    <mergeCell ref="L14:M14"/>
    <mergeCell ref="I21:K21"/>
    <mergeCell ref="L21:M21"/>
    <mergeCell ref="J23:K23"/>
    <mergeCell ref="L23:M23"/>
    <mergeCell ref="B29:D29"/>
    <mergeCell ref="B38:D38"/>
    <mergeCell ref="J50:K50"/>
    <mergeCell ref="L50:M50"/>
    <mergeCell ref="I57:K57"/>
    <mergeCell ref="L57:M57"/>
    <mergeCell ref="I39:K39"/>
    <mergeCell ref="L39:M39"/>
    <mergeCell ref="J41:K41"/>
    <mergeCell ref="L41:M41"/>
    <mergeCell ref="I48:K48"/>
    <mergeCell ref="L48:M48"/>
    <mergeCell ref="C50:D50"/>
    <mergeCell ref="E50:F50"/>
    <mergeCell ref="B56:D56"/>
    <mergeCell ref="E56:F56"/>
    <mergeCell ref="I66:K66"/>
    <mergeCell ref="L66:M66"/>
    <mergeCell ref="J68:K68"/>
    <mergeCell ref="L68:M68"/>
    <mergeCell ref="C31:D31"/>
    <mergeCell ref="J59:K59"/>
    <mergeCell ref="L59:M59"/>
    <mergeCell ref="C58:D58"/>
    <mergeCell ref="E58:F58"/>
    <mergeCell ref="C90:D90"/>
    <mergeCell ref="E90:F90"/>
    <mergeCell ref="I75:K75"/>
    <mergeCell ref="L75:M75"/>
    <mergeCell ref="J77:K77"/>
    <mergeCell ref="L77:M77"/>
    <mergeCell ref="B88:D88"/>
    <mergeCell ref="E88:F88"/>
  </mergeCells>
  <pageMargins left="0.25" right="0.25" top="0.75" bottom="0.75" header="0.3" footer="0.3"/>
  <pageSetup scale="89"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2FE4A-C16B-4DC9-A60E-11806AAAAE5D}">
  <sheetPr codeName="Sheet5">
    <pageSetUpPr fitToPage="1"/>
  </sheetPr>
  <dimension ref="B1:U250"/>
  <sheetViews>
    <sheetView showGridLines="0" tabSelected="1" zoomScale="70" zoomScaleNormal="70" workbookViewId="0">
      <selection activeCell="C2" sqref="C2"/>
    </sheetView>
  </sheetViews>
  <sheetFormatPr defaultRowHeight="14.5" x14ac:dyDescent="0.35"/>
  <cols>
    <col min="1" max="1" width="3.1796875" customWidth="1"/>
    <col min="2" max="2" width="22.08984375" bestFit="1" customWidth="1"/>
    <col min="4" max="4" width="9" bestFit="1" customWidth="1"/>
    <col min="5" max="5" width="11.81640625" bestFit="1" customWidth="1"/>
    <col min="9" max="9" width="22.08984375" bestFit="1" customWidth="1"/>
    <col min="12" max="12" width="12.54296875" bestFit="1" customWidth="1"/>
    <col min="16" max="16" width="22.08984375" bestFit="1" customWidth="1"/>
    <col min="19" max="19" width="11.81640625" bestFit="1" customWidth="1"/>
  </cols>
  <sheetData>
    <row r="1" spans="2:21" ht="23.5" x14ac:dyDescent="0.55000000000000004">
      <c r="C1" s="118" t="s">
        <v>75</v>
      </c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2:21" x14ac:dyDescent="0.3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ht="15.5" x14ac:dyDescent="0.35">
      <c r="B3" s="119" t="s">
        <v>70</v>
      </c>
      <c r="C3" s="120"/>
      <c r="D3" s="121"/>
      <c r="E3" s="122" t="s">
        <v>7</v>
      </c>
      <c r="F3" s="123"/>
      <c r="G3" s="30">
        <f>SUM(G7:G11)</f>
        <v>1.5631754308814074</v>
      </c>
      <c r="I3" s="119" t="s">
        <v>71</v>
      </c>
      <c r="J3" s="120"/>
      <c r="K3" s="121"/>
      <c r="L3" s="122" t="s">
        <v>7</v>
      </c>
      <c r="M3" s="123"/>
      <c r="N3" s="30">
        <f>SUM(N7:N11)</f>
        <v>2.012511929423074</v>
      </c>
      <c r="P3" s="119" t="s">
        <v>72</v>
      </c>
      <c r="Q3" s="120"/>
      <c r="R3" s="121"/>
      <c r="S3" s="122" t="s">
        <v>7</v>
      </c>
      <c r="T3" s="123"/>
      <c r="U3" s="30">
        <f>SUM(U7:U11)</f>
        <v>2.8177883131523309</v>
      </c>
    </row>
    <row r="4" spans="2:21" x14ac:dyDescent="0.35">
      <c r="B4" s="9"/>
      <c r="G4" s="8"/>
      <c r="I4" s="9"/>
      <c r="N4" s="8"/>
      <c r="P4" s="9"/>
      <c r="U4" s="8"/>
    </row>
    <row r="5" spans="2:21" x14ac:dyDescent="0.35">
      <c r="B5" s="10"/>
      <c r="C5" s="124" t="s">
        <v>13</v>
      </c>
      <c r="D5" s="125"/>
      <c r="E5" s="124" t="s">
        <v>14</v>
      </c>
      <c r="F5" s="125"/>
      <c r="G5" s="5" t="s">
        <v>6</v>
      </c>
      <c r="I5" s="10"/>
      <c r="J5" s="124" t="s">
        <v>13</v>
      </c>
      <c r="K5" s="125"/>
      <c r="L5" s="124" t="s">
        <v>14</v>
      </c>
      <c r="M5" s="125"/>
      <c r="N5" s="5" t="s">
        <v>6</v>
      </c>
      <c r="P5" s="10"/>
      <c r="Q5" s="124" t="s">
        <v>13</v>
      </c>
      <c r="R5" s="125"/>
      <c r="S5" s="124" t="s">
        <v>14</v>
      </c>
      <c r="T5" s="125"/>
      <c r="U5" s="5" t="s">
        <v>6</v>
      </c>
    </row>
    <row r="6" spans="2:21" x14ac:dyDescent="0.35">
      <c r="B6" s="5" t="s">
        <v>10</v>
      </c>
      <c r="C6" s="5" t="s">
        <v>2</v>
      </c>
      <c r="D6" s="5" t="s">
        <v>1</v>
      </c>
      <c r="E6" s="5" t="s">
        <v>11</v>
      </c>
      <c r="F6" s="5" t="s">
        <v>1</v>
      </c>
      <c r="G6" s="5" t="s">
        <v>15</v>
      </c>
      <c r="I6" s="5" t="s">
        <v>10</v>
      </c>
      <c r="J6" s="5" t="s">
        <v>2</v>
      </c>
      <c r="K6" s="5" t="s">
        <v>1</v>
      </c>
      <c r="L6" s="5" t="s">
        <v>11</v>
      </c>
      <c r="M6" s="5" t="s">
        <v>1</v>
      </c>
      <c r="N6" s="5" t="s">
        <v>15</v>
      </c>
      <c r="P6" s="5" t="s">
        <v>10</v>
      </c>
      <c r="Q6" s="5" t="s">
        <v>2</v>
      </c>
      <c r="R6" s="5" t="s">
        <v>1</v>
      </c>
      <c r="S6" s="5" t="s">
        <v>11</v>
      </c>
      <c r="T6" s="5" t="s">
        <v>1</v>
      </c>
      <c r="U6" s="5" t="s">
        <v>15</v>
      </c>
    </row>
    <row r="7" spans="2:21" x14ac:dyDescent="0.35">
      <c r="B7" s="7" t="s">
        <v>61</v>
      </c>
      <c r="C7" s="7">
        <v>14</v>
      </c>
      <c r="D7" s="7" t="s">
        <v>17</v>
      </c>
      <c r="E7" s="5">
        <f>Recipes!N19</f>
        <v>3.3574516898448738E-2</v>
      </c>
      <c r="F7" s="5" t="str">
        <f>D7</f>
        <v>Oz</v>
      </c>
      <c r="G7" s="5">
        <f>C7*E7</f>
        <v>0.47004323657828234</v>
      </c>
      <c r="I7" s="7" t="s">
        <v>61</v>
      </c>
      <c r="J7" s="7">
        <v>14</v>
      </c>
      <c r="K7" s="7" t="s">
        <v>17</v>
      </c>
      <c r="L7" s="5">
        <f>Recipes!N19</f>
        <v>3.3574516898448738E-2</v>
      </c>
      <c r="M7" s="5" t="str">
        <f>K7</f>
        <v>Oz</v>
      </c>
      <c r="N7" s="5">
        <f>J7*L7</f>
        <v>0.47004323657828234</v>
      </c>
      <c r="P7" s="7" t="s">
        <v>61</v>
      </c>
      <c r="Q7" s="7">
        <v>22</v>
      </c>
      <c r="R7" s="7" t="s">
        <v>17</v>
      </c>
      <c r="S7" s="5">
        <f>Recipes!N19</f>
        <v>3.3574516898448738E-2</v>
      </c>
      <c r="T7" s="5" t="str">
        <f>R7</f>
        <v>Oz</v>
      </c>
      <c r="U7" s="5">
        <f>Q7*S7</f>
        <v>0.73863937176587224</v>
      </c>
    </row>
    <row r="8" spans="2:21" x14ac:dyDescent="0.35">
      <c r="B8" s="7" t="s">
        <v>84</v>
      </c>
      <c r="C8" s="7">
        <v>2.67</v>
      </c>
      <c r="D8" s="7" t="s">
        <v>17</v>
      </c>
      <c r="E8" s="5">
        <f>Recipes!N5</f>
        <v>3.9433874270833336E-2</v>
      </c>
      <c r="F8" s="5" t="str">
        <f t="shared" ref="F8:F10" si="0">D8</f>
        <v>Oz</v>
      </c>
      <c r="G8" s="5">
        <f t="shared" ref="G8:G10" si="1">C8*E8</f>
        <v>0.10528844430312501</v>
      </c>
      <c r="I8" s="7" t="s">
        <v>84</v>
      </c>
      <c r="J8" s="7">
        <v>4.67</v>
      </c>
      <c r="K8" s="7" t="s">
        <v>17</v>
      </c>
      <c r="L8" s="5">
        <f>Recipes!N5</f>
        <v>3.9433874270833336E-2</v>
      </c>
      <c r="M8" s="5" t="str">
        <f t="shared" ref="M8:M10" si="2">K8</f>
        <v>Oz</v>
      </c>
      <c r="N8" s="5">
        <f t="shared" ref="N8:N10" si="3">J8*L8</f>
        <v>0.18415619284479168</v>
      </c>
      <c r="P8" s="7" t="s">
        <v>84</v>
      </c>
      <c r="Q8" s="7">
        <v>6.67</v>
      </c>
      <c r="R8" s="7" t="s">
        <v>17</v>
      </c>
      <c r="S8" s="5">
        <f>Recipes!N5</f>
        <v>3.9433874270833336E-2</v>
      </c>
      <c r="T8" s="5" t="str">
        <f t="shared" ref="T8:T10" si="4">R8</f>
        <v>Oz</v>
      </c>
      <c r="U8" s="5">
        <f t="shared" ref="U8:U10" si="5">Q8*S8</f>
        <v>0.26302394138645835</v>
      </c>
    </row>
    <row r="9" spans="2:21" x14ac:dyDescent="0.35">
      <c r="B9" s="7" t="s">
        <v>22</v>
      </c>
      <c r="C9" s="7">
        <v>3.875</v>
      </c>
      <c r="D9" s="7" t="s">
        <v>17</v>
      </c>
      <c r="E9" s="5">
        <f>E38</f>
        <v>0.18312500000000001</v>
      </c>
      <c r="F9" s="5" t="str">
        <f t="shared" si="0"/>
        <v>Oz</v>
      </c>
      <c r="G9" s="5">
        <f t="shared" si="1"/>
        <v>0.70960937499999999</v>
      </c>
      <c r="I9" s="7" t="s">
        <v>22</v>
      </c>
      <c r="J9" s="7">
        <v>5.625</v>
      </c>
      <c r="K9" s="7" t="s">
        <v>17</v>
      </c>
      <c r="L9" s="5">
        <f>L38</f>
        <v>0.18312500000000001</v>
      </c>
      <c r="M9" s="5" t="str">
        <f t="shared" si="2"/>
        <v>Oz</v>
      </c>
      <c r="N9" s="5">
        <f t="shared" si="3"/>
        <v>1.030078125</v>
      </c>
      <c r="P9" s="7" t="s">
        <v>22</v>
      </c>
      <c r="Q9" s="7">
        <v>8.125</v>
      </c>
      <c r="R9" s="7" t="s">
        <v>17</v>
      </c>
      <c r="S9" s="5">
        <f>S38</f>
        <v>0.18312500000000001</v>
      </c>
      <c r="T9" s="5" t="str">
        <f t="shared" si="4"/>
        <v>Oz</v>
      </c>
      <c r="U9" s="5">
        <f t="shared" si="5"/>
        <v>1.4878906250000001</v>
      </c>
    </row>
    <row r="10" spans="2:21" x14ac:dyDescent="0.35">
      <c r="B10" s="7" t="s">
        <v>179</v>
      </c>
      <c r="C10" s="7">
        <v>1</v>
      </c>
      <c r="D10" s="7" t="s">
        <v>73</v>
      </c>
      <c r="E10" s="5">
        <f>'Paper Product Prices'!H10</f>
        <v>0.25980000000000003</v>
      </c>
      <c r="F10" s="5" t="str">
        <f t="shared" si="0"/>
        <v>Box</v>
      </c>
      <c r="G10" s="5">
        <f t="shared" si="1"/>
        <v>0.25980000000000003</v>
      </c>
      <c r="I10" s="7" t="s">
        <v>180</v>
      </c>
      <c r="J10" s="7">
        <v>1</v>
      </c>
      <c r="K10" s="7" t="s">
        <v>73</v>
      </c>
      <c r="L10" s="5">
        <f>'Paper Product Prices'!H9</f>
        <v>0.30980000000000002</v>
      </c>
      <c r="M10" s="5" t="str">
        <f t="shared" si="2"/>
        <v>Box</v>
      </c>
      <c r="N10" s="5">
        <f t="shared" si="3"/>
        <v>0.30980000000000002</v>
      </c>
      <c r="P10" s="7" t="s">
        <v>181</v>
      </c>
      <c r="Q10" s="7">
        <v>1</v>
      </c>
      <c r="R10" s="7" t="s">
        <v>73</v>
      </c>
      <c r="S10" s="5">
        <f>'Paper Product Prices'!H8</f>
        <v>0.30980000000000002</v>
      </c>
      <c r="T10" s="5" t="str">
        <f t="shared" si="4"/>
        <v>Box</v>
      </c>
      <c r="U10" s="5">
        <f t="shared" si="5"/>
        <v>0.30980000000000002</v>
      </c>
    </row>
    <row r="11" spans="2:21" x14ac:dyDescent="0.35">
      <c r="B11" s="7" t="s">
        <v>130</v>
      </c>
      <c r="C11" s="7">
        <v>1</v>
      </c>
      <c r="D11" s="7" t="s">
        <v>74</v>
      </c>
      <c r="E11" s="5">
        <f>'Paper Product Prices'!L3</f>
        <v>1.8434374999999999E-2</v>
      </c>
      <c r="F11" s="5" t="str">
        <f>D11</f>
        <v>Paper</v>
      </c>
      <c r="G11" s="5">
        <f>C11*E11</f>
        <v>1.8434374999999999E-2</v>
      </c>
      <c r="I11" s="7" t="s">
        <v>130</v>
      </c>
      <c r="J11" s="7">
        <v>1</v>
      </c>
      <c r="K11" s="7" t="s">
        <v>74</v>
      </c>
      <c r="L11" s="5">
        <f>E11</f>
        <v>1.8434374999999999E-2</v>
      </c>
      <c r="M11" s="5" t="str">
        <f>K11</f>
        <v>Paper</v>
      </c>
      <c r="N11" s="5">
        <f>J11*L11</f>
        <v>1.8434374999999999E-2</v>
      </c>
      <c r="P11" s="7" t="s">
        <v>130</v>
      </c>
      <c r="Q11" s="7">
        <v>1</v>
      </c>
      <c r="R11" s="7" t="s">
        <v>74</v>
      </c>
      <c r="S11" s="5">
        <f>L11</f>
        <v>1.8434374999999999E-2</v>
      </c>
      <c r="T11" s="5" t="str">
        <f>R11</f>
        <v>Paper</v>
      </c>
      <c r="U11" s="5">
        <f>Q11*S11</f>
        <v>1.8434374999999999E-2</v>
      </c>
    </row>
    <row r="13" spans="2:21" ht="15.5" x14ac:dyDescent="0.35">
      <c r="B13" s="128" t="s">
        <v>76</v>
      </c>
      <c r="C13" s="128"/>
      <c r="D13" s="128"/>
      <c r="E13" s="129" t="s">
        <v>7</v>
      </c>
      <c r="F13" s="129"/>
      <c r="G13" s="30">
        <f>SUM(G17:G22)</f>
        <v>2.0477660133751527</v>
      </c>
      <c r="I13" s="128" t="s">
        <v>77</v>
      </c>
      <c r="J13" s="128"/>
      <c r="K13" s="128"/>
      <c r="L13" s="129" t="s">
        <v>7</v>
      </c>
      <c r="M13" s="129"/>
      <c r="N13" s="30">
        <f>SUM(N17:N22)</f>
        <v>2.635049276773588</v>
      </c>
      <c r="P13" s="128" t="s">
        <v>78</v>
      </c>
      <c r="Q13" s="128"/>
      <c r="R13" s="128"/>
      <c r="S13" s="129" t="s">
        <v>7</v>
      </c>
      <c r="T13" s="129"/>
      <c r="U13" s="30">
        <f>SUM(U17:U22)</f>
        <v>3.6563974253596134</v>
      </c>
    </row>
    <row r="14" spans="2:21" x14ac:dyDescent="0.35">
      <c r="B14" s="9"/>
      <c r="G14" s="8"/>
      <c r="I14" s="9"/>
      <c r="N14" s="8"/>
      <c r="P14" s="9"/>
      <c r="U14" s="8"/>
    </row>
    <row r="15" spans="2:21" x14ac:dyDescent="0.35">
      <c r="B15" s="10"/>
      <c r="C15" s="124" t="s">
        <v>13</v>
      </c>
      <c r="D15" s="125"/>
      <c r="E15" s="124" t="s">
        <v>14</v>
      </c>
      <c r="F15" s="125"/>
      <c r="G15" s="5" t="s">
        <v>6</v>
      </c>
      <c r="I15" s="10"/>
      <c r="J15" s="124" t="s">
        <v>13</v>
      </c>
      <c r="K15" s="125"/>
      <c r="L15" s="124" t="s">
        <v>14</v>
      </c>
      <c r="M15" s="125"/>
      <c r="N15" s="5" t="s">
        <v>6</v>
      </c>
      <c r="P15" s="10"/>
      <c r="Q15" s="124" t="s">
        <v>13</v>
      </c>
      <c r="R15" s="125"/>
      <c r="S15" s="124" t="s">
        <v>14</v>
      </c>
      <c r="T15" s="125"/>
      <c r="U15" s="5" t="s">
        <v>6</v>
      </c>
    </row>
    <row r="16" spans="2:21" x14ac:dyDescent="0.35">
      <c r="B16" s="5" t="s">
        <v>10</v>
      </c>
      <c r="C16" s="5" t="s">
        <v>2</v>
      </c>
      <c r="D16" s="5" t="s">
        <v>1</v>
      </c>
      <c r="E16" s="5" t="s">
        <v>11</v>
      </c>
      <c r="F16" s="5" t="s">
        <v>1</v>
      </c>
      <c r="G16" s="5" t="s">
        <v>15</v>
      </c>
      <c r="I16" s="5" t="s">
        <v>10</v>
      </c>
      <c r="J16" s="5" t="s">
        <v>2</v>
      </c>
      <c r="K16" s="5" t="s">
        <v>1</v>
      </c>
      <c r="L16" s="5" t="s">
        <v>11</v>
      </c>
      <c r="M16" s="5" t="s">
        <v>1</v>
      </c>
      <c r="N16" s="5" t="s">
        <v>15</v>
      </c>
      <c r="P16" s="5" t="s">
        <v>10</v>
      </c>
      <c r="Q16" s="5" t="s">
        <v>2</v>
      </c>
      <c r="R16" s="5" t="s">
        <v>1</v>
      </c>
      <c r="S16" s="5" t="s">
        <v>11</v>
      </c>
      <c r="T16" s="5" t="s">
        <v>1</v>
      </c>
      <c r="U16" s="5" t="s">
        <v>15</v>
      </c>
    </row>
    <row r="17" spans="2:21" x14ac:dyDescent="0.35">
      <c r="B17" s="7" t="s">
        <v>61</v>
      </c>
      <c r="C17" s="7">
        <f>C7</f>
        <v>14</v>
      </c>
      <c r="D17" s="7" t="s">
        <v>17</v>
      </c>
      <c r="E17" s="5">
        <f>E7</f>
        <v>3.3574516898448738E-2</v>
      </c>
      <c r="F17" s="5" t="str">
        <f>D17</f>
        <v>Oz</v>
      </c>
      <c r="G17" s="5">
        <f>C17*E17</f>
        <v>0.47004323657828234</v>
      </c>
      <c r="I17" s="7" t="s">
        <v>61</v>
      </c>
      <c r="J17" s="7">
        <f>J7</f>
        <v>14</v>
      </c>
      <c r="K17" s="7" t="s">
        <v>17</v>
      </c>
      <c r="L17" s="5">
        <f>L7</f>
        <v>3.3574516898448738E-2</v>
      </c>
      <c r="M17" s="5" t="str">
        <f>K17</f>
        <v>Oz</v>
      </c>
      <c r="N17" s="5">
        <f>J17*L17</f>
        <v>0.47004323657828234</v>
      </c>
      <c r="P17" s="7" t="s">
        <v>61</v>
      </c>
      <c r="Q17" s="7">
        <f>Q7</f>
        <v>22</v>
      </c>
      <c r="R17" s="7" t="s">
        <v>17</v>
      </c>
      <c r="S17" s="5">
        <f>S7</f>
        <v>3.3574516898448738E-2</v>
      </c>
      <c r="T17" s="5" t="str">
        <f>R17</f>
        <v>Oz</v>
      </c>
      <c r="U17" s="5">
        <f>Q17*S17</f>
        <v>0.73863937176587224</v>
      </c>
    </row>
    <row r="18" spans="2:21" x14ac:dyDescent="0.35">
      <c r="B18" s="7" t="s">
        <v>85</v>
      </c>
      <c r="C18" s="7">
        <v>1</v>
      </c>
      <c r="D18" s="7" t="s">
        <v>17</v>
      </c>
      <c r="E18" s="5">
        <f>Recipes!N31</f>
        <v>0.16019152679687035</v>
      </c>
      <c r="F18" s="5" t="str">
        <f t="shared" ref="F18:F21" si="6">D18</f>
        <v>Oz</v>
      </c>
      <c r="G18" s="5">
        <f t="shared" ref="G18:G21" si="7">C18*E18</f>
        <v>0.16019152679687035</v>
      </c>
      <c r="I18" s="7" t="s">
        <v>85</v>
      </c>
      <c r="J18" s="7">
        <v>1.5</v>
      </c>
      <c r="K18" s="7" t="s">
        <v>17</v>
      </c>
      <c r="L18" s="5">
        <f>Recipes!N31</f>
        <v>0.16019152679687035</v>
      </c>
      <c r="M18" s="5" t="str">
        <f t="shared" ref="M18:M21" si="8">K18</f>
        <v>Oz</v>
      </c>
      <c r="N18" s="5">
        <f t="shared" ref="N18:N21" si="9">J18*L18</f>
        <v>0.24028729019530554</v>
      </c>
      <c r="P18" s="7" t="s">
        <v>85</v>
      </c>
      <c r="Q18" s="7">
        <v>2</v>
      </c>
      <c r="R18" s="7" t="s">
        <v>17</v>
      </c>
      <c r="S18" s="5">
        <f>Recipes!N31</f>
        <v>0.16019152679687035</v>
      </c>
      <c r="T18" s="5" t="str">
        <f t="shared" ref="T18:T21" si="10">R18</f>
        <v>Oz</v>
      </c>
      <c r="U18" s="5">
        <f t="shared" ref="U18:U21" si="11">Q18*S18</f>
        <v>0.3203830535937407</v>
      </c>
    </row>
    <row r="19" spans="2:21" x14ac:dyDescent="0.35">
      <c r="B19" s="7" t="s">
        <v>22</v>
      </c>
      <c r="C19" s="7">
        <f>C9</f>
        <v>3.875</v>
      </c>
      <c r="D19" s="7" t="s">
        <v>17</v>
      </c>
      <c r="E19" s="5">
        <f>E38</f>
        <v>0.18312500000000001</v>
      </c>
      <c r="F19" s="5" t="str">
        <f t="shared" si="6"/>
        <v>Oz</v>
      </c>
      <c r="G19" s="5">
        <f t="shared" si="7"/>
        <v>0.70960937499999999</v>
      </c>
      <c r="I19" s="7" t="s">
        <v>22</v>
      </c>
      <c r="J19" s="7">
        <f>J9</f>
        <v>5.625</v>
      </c>
      <c r="K19" s="7" t="s">
        <v>17</v>
      </c>
      <c r="L19" s="5">
        <f>L38</f>
        <v>0.18312500000000001</v>
      </c>
      <c r="M19" s="5" t="str">
        <f t="shared" si="8"/>
        <v>Oz</v>
      </c>
      <c r="N19" s="5">
        <f t="shared" si="9"/>
        <v>1.030078125</v>
      </c>
      <c r="P19" s="7" t="s">
        <v>22</v>
      </c>
      <c r="Q19" s="7">
        <f>Q9</f>
        <v>8.125</v>
      </c>
      <c r="R19" s="7" t="s">
        <v>17</v>
      </c>
      <c r="S19" s="5">
        <f>S38</f>
        <v>0.18312500000000001</v>
      </c>
      <c r="T19" s="5" t="str">
        <f t="shared" si="10"/>
        <v>Oz</v>
      </c>
      <c r="U19" s="5">
        <f t="shared" si="11"/>
        <v>1.4878906250000001</v>
      </c>
    </row>
    <row r="20" spans="2:21" x14ac:dyDescent="0.35">
      <c r="B20" s="7" t="s">
        <v>82</v>
      </c>
      <c r="C20" s="7">
        <f>C39</f>
        <v>2.75</v>
      </c>
      <c r="D20" s="7" t="s">
        <v>83</v>
      </c>
      <c r="E20" s="5">
        <f>E39</f>
        <v>0.15625</v>
      </c>
      <c r="F20" s="5" t="str">
        <f t="shared" si="6"/>
        <v>oz</v>
      </c>
      <c r="G20" s="5">
        <f t="shared" si="7"/>
        <v>0.4296875</v>
      </c>
      <c r="I20" s="7" t="s">
        <v>82</v>
      </c>
      <c r="J20" s="7">
        <f>J39</f>
        <v>3.625</v>
      </c>
      <c r="K20" s="7" t="s">
        <v>17</v>
      </c>
      <c r="L20" s="5">
        <f>L39</f>
        <v>0.15625</v>
      </c>
      <c r="M20" s="5" t="str">
        <f t="shared" si="8"/>
        <v>Oz</v>
      </c>
      <c r="N20" s="5">
        <f t="shared" si="9"/>
        <v>0.56640625</v>
      </c>
      <c r="P20" s="7" t="s">
        <v>82</v>
      </c>
      <c r="Q20" s="7">
        <f>Q39</f>
        <v>5</v>
      </c>
      <c r="R20" s="7" t="s">
        <v>17</v>
      </c>
      <c r="S20" s="5">
        <f>S39</f>
        <v>0.15625</v>
      </c>
      <c r="T20" s="5" t="str">
        <f t="shared" si="10"/>
        <v>Oz</v>
      </c>
      <c r="U20" s="5">
        <f t="shared" si="11"/>
        <v>0.78125</v>
      </c>
    </row>
    <row r="21" spans="2:21" x14ac:dyDescent="0.35">
      <c r="B21" s="7" t="s">
        <v>179</v>
      </c>
      <c r="C21" s="7">
        <v>1</v>
      </c>
      <c r="D21" s="7" t="s">
        <v>73</v>
      </c>
      <c r="E21" s="5">
        <f>E10</f>
        <v>0.25980000000000003</v>
      </c>
      <c r="F21" s="5" t="str">
        <f t="shared" si="6"/>
        <v>Box</v>
      </c>
      <c r="G21" s="5">
        <f t="shared" si="7"/>
        <v>0.25980000000000003</v>
      </c>
      <c r="I21" s="7" t="s">
        <v>180</v>
      </c>
      <c r="J21" s="7">
        <v>1</v>
      </c>
      <c r="K21" s="7" t="s">
        <v>73</v>
      </c>
      <c r="L21" s="5">
        <f>L10</f>
        <v>0.30980000000000002</v>
      </c>
      <c r="M21" s="5" t="str">
        <f t="shared" si="8"/>
        <v>Box</v>
      </c>
      <c r="N21" s="5">
        <f t="shared" si="9"/>
        <v>0.30980000000000002</v>
      </c>
      <c r="P21" s="7" t="s">
        <v>181</v>
      </c>
      <c r="Q21" s="7">
        <v>1</v>
      </c>
      <c r="R21" s="7" t="s">
        <v>73</v>
      </c>
      <c r="S21" s="5">
        <f>S10</f>
        <v>0.30980000000000002</v>
      </c>
      <c r="T21" s="5" t="str">
        <f t="shared" si="10"/>
        <v>Box</v>
      </c>
      <c r="U21" s="5">
        <f t="shared" si="11"/>
        <v>0.30980000000000002</v>
      </c>
    </row>
    <row r="22" spans="2:21" x14ac:dyDescent="0.35">
      <c r="B22" s="7" t="s">
        <v>130</v>
      </c>
      <c r="C22" s="7">
        <v>1</v>
      </c>
      <c r="D22" s="7" t="s">
        <v>74</v>
      </c>
      <c r="E22" s="5">
        <f>E11</f>
        <v>1.8434374999999999E-2</v>
      </c>
      <c r="F22" s="5" t="str">
        <f>D22</f>
        <v>Paper</v>
      </c>
      <c r="G22" s="5">
        <f>C22*E22</f>
        <v>1.8434374999999999E-2</v>
      </c>
      <c r="I22" s="7" t="s">
        <v>130</v>
      </c>
      <c r="J22" s="7">
        <v>1</v>
      </c>
      <c r="K22" s="7" t="s">
        <v>74</v>
      </c>
      <c r="L22" s="5">
        <f>L11</f>
        <v>1.8434374999999999E-2</v>
      </c>
      <c r="M22" s="5" t="str">
        <f>K22</f>
        <v>Paper</v>
      </c>
      <c r="N22" s="5">
        <f>J22*L22</f>
        <v>1.8434374999999999E-2</v>
      </c>
      <c r="P22" s="7" t="s">
        <v>130</v>
      </c>
      <c r="Q22" s="7">
        <v>1</v>
      </c>
      <c r="R22" s="7" t="s">
        <v>74</v>
      </c>
      <c r="S22" s="5">
        <f>S11</f>
        <v>1.8434374999999999E-2</v>
      </c>
      <c r="T22" s="5" t="str">
        <f>R22</f>
        <v>Paper</v>
      </c>
      <c r="U22" s="5">
        <f>Q22*S22</f>
        <v>1.8434374999999999E-2</v>
      </c>
    </row>
    <row r="24" spans="2:21" ht="15.5" x14ac:dyDescent="0.35">
      <c r="B24" s="119" t="s">
        <v>79</v>
      </c>
      <c r="C24" s="120"/>
      <c r="D24" s="120"/>
      <c r="E24" s="120"/>
      <c r="F24" s="120"/>
      <c r="G24" s="121"/>
      <c r="I24" s="119" t="s">
        <v>80</v>
      </c>
      <c r="J24" s="120"/>
      <c r="K24" s="120"/>
      <c r="L24" s="120"/>
      <c r="M24" s="120"/>
      <c r="N24" s="121"/>
      <c r="P24" s="119" t="s">
        <v>81</v>
      </c>
      <c r="Q24" s="120"/>
      <c r="R24" s="120"/>
      <c r="S24" s="120"/>
      <c r="T24" s="120"/>
      <c r="U24" s="121"/>
    </row>
    <row r="25" spans="2:21" x14ac:dyDescent="0.35">
      <c r="B25" s="9"/>
      <c r="G25" s="8"/>
      <c r="I25" s="9"/>
      <c r="N25" s="8"/>
      <c r="P25" s="9"/>
      <c r="U25" s="8"/>
    </row>
    <row r="26" spans="2:21" x14ac:dyDescent="0.35">
      <c r="B26" s="10"/>
      <c r="C26" s="124" t="s">
        <v>13</v>
      </c>
      <c r="D26" s="125"/>
      <c r="E26" s="124" t="s">
        <v>14</v>
      </c>
      <c r="F26" s="125"/>
      <c r="G26" s="5" t="s">
        <v>6</v>
      </c>
      <c r="I26" s="10"/>
      <c r="J26" s="124" t="s">
        <v>13</v>
      </c>
      <c r="K26" s="125"/>
      <c r="L26" s="124" t="s">
        <v>14</v>
      </c>
      <c r="M26" s="125"/>
      <c r="N26" s="5" t="s">
        <v>6</v>
      </c>
      <c r="P26" s="10"/>
      <c r="Q26" s="124" t="s">
        <v>13</v>
      </c>
      <c r="R26" s="125"/>
      <c r="S26" s="124" t="s">
        <v>14</v>
      </c>
      <c r="T26" s="125"/>
      <c r="U26" s="5" t="s">
        <v>6</v>
      </c>
    </row>
    <row r="27" spans="2:21" x14ac:dyDescent="0.35">
      <c r="B27" s="5" t="s">
        <v>10</v>
      </c>
      <c r="C27" s="5" t="s">
        <v>2</v>
      </c>
      <c r="D27" s="5" t="s">
        <v>1</v>
      </c>
      <c r="E27" s="5" t="s">
        <v>11</v>
      </c>
      <c r="F27" s="5" t="s">
        <v>1</v>
      </c>
      <c r="G27" s="5" t="s">
        <v>15</v>
      </c>
      <c r="I27" s="5" t="s">
        <v>10</v>
      </c>
      <c r="J27" s="5" t="s">
        <v>2</v>
      </c>
      <c r="K27" s="5" t="s">
        <v>1</v>
      </c>
      <c r="L27" s="5" t="s">
        <v>11</v>
      </c>
      <c r="M27" s="5" t="s">
        <v>1</v>
      </c>
      <c r="N27" s="5" t="s">
        <v>15</v>
      </c>
      <c r="P27" s="5" t="s">
        <v>10</v>
      </c>
      <c r="Q27" s="5" t="s">
        <v>2</v>
      </c>
      <c r="R27" s="5" t="s">
        <v>1</v>
      </c>
      <c r="S27" s="5" t="s">
        <v>11</v>
      </c>
      <c r="T27" s="5" t="s">
        <v>1</v>
      </c>
      <c r="U27" s="5" t="s">
        <v>15</v>
      </c>
    </row>
    <row r="28" spans="2:21" x14ac:dyDescent="0.35">
      <c r="B28" s="7" t="s">
        <v>86</v>
      </c>
      <c r="C28" s="7">
        <v>2.25</v>
      </c>
      <c r="D28" s="7" t="s">
        <v>17</v>
      </c>
      <c r="E28" s="5">
        <f>'Food Prices'!L65</f>
        <v>0.29696428571428574</v>
      </c>
      <c r="F28" s="5" t="str">
        <f>D28</f>
        <v>Oz</v>
      </c>
      <c r="G28" s="5">
        <f>C28*E28</f>
        <v>0.66816964285714286</v>
      </c>
      <c r="I28" s="7" t="s">
        <v>86</v>
      </c>
      <c r="J28" s="7">
        <v>3.25</v>
      </c>
      <c r="K28" s="7" t="s">
        <v>17</v>
      </c>
      <c r="L28" s="5">
        <f>E28</f>
        <v>0.29696428571428574</v>
      </c>
      <c r="M28" s="5" t="str">
        <f>K28</f>
        <v>Oz</v>
      </c>
      <c r="N28" s="5">
        <f>J28*L28</f>
        <v>0.96513392857142866</v>
      </c>
      <c r="P28" s="7" t="s">
        <v>86</v>
      </c>
      <c r="Q28" s="7">
        <v>4.125</v>
      </c>
      <c r="R28" s="7" t="s">
        <v>17</v>
      </c>
      <c r="S28" s="5">
        <f>E28</f>
        <v>0.29696428571428574</v>
      </c>
      <c r="T28" s="5" t="str">
        <f>R28</f>
        <v>Oz</v>
      </c>
      <c r="U28" s="5">
        <f>Q28*S28</f>
        <v>1.2249776785714286</v>
      </c>
    </row>
    <row r="29" spans="2:21" x14ac:dyDescent="0.35">
      <c r="B29" s="7" t="s">
        <v>87</v>
      </c>
      <c r="C29" s="7">
        <v>2.75</v>
      </c>
      <c r="D29" s="7" t="s">
        <v>17</v>
      </c>
      <c r="E29" s="5">
        <f>'Food Prices'!L67</f>
        <v>0.27918750000000003</v>
      </c>
      <c r="F29" s="5" t="str">
        <f t="shared" ref="F29:F51" si="12">D29</f>
        <v>Oz</v>
      </c>
      <c r="G29" s="5">
        <f t="shared" ref="G29:G51" si="13">C29*E29</f>
        <v>0.76776562500000012</v>
      </c>
      <c r="I29" s="7" t="s">
        <v>87</v>
      </c>
      <c r="J29" s="7">
        <v>3.25</v>
      </c>
      <c r="K29" s="7" t="s">
        <v>17</v>
      </c>
      <c r="L29" s="5">
        <f t="shared" ref="L29:L52" si="14">E29</f>
        <v>0.27918750000000003</v>
      </c>
      <c r="M29" s="5" t="str">
        <f t="shared" ref="M29:M51" si="15">K29</f>
        <v>Oz</v>
      </c>
      <c r="N29" s="5">
        <f t="shared" ref="N29:N51" si="16">J29*L29</f>
        <v>0.90735937500000008</v>
      </c>
      <c r="P29" s="7" t="s">
        <v>87</v>
      </c>
      <c r="Q29" s="7">
        <v>4.125</v>
      </c>
      <c r="R29" s="7" t="s">
        <v>17</v>
      </c>
      <c r="S29" s="5">
        <f t="shared" ref="S29:S52" si="17">E29</f>
        <v>0.27918750000000003</v>
      </c>
      <c r="T29" s="5" t="str">
        <f t="shared" ref="T29:T52" si="18">R29</f>
        <v>Oz</v>
      </c>
      <c r="U29" s="5">
        <f t="shared" ref="U29:U52" si="19">Q29*S29</f>
        <v>1.1516484375000002</v>
      </c>
    </row>
    <row r="30" spans="2:21" x14ac:dyDescent="0.35">
      <c r="B30" s="7" t="s">
        <v>28</v>
      </c>
      <c r="C30" s="7">
        <v>2</v>
      </c>
      <c r="D30" s="7" t="s">
        <v>17</v>
      </c>
      <c r="E30" s="5">
        <f>'Food Prices'!L56</f>
        <v>0.46875</v>
      </c>
      <c r="F30" s="5" t="str">
        <f t="shared" si="12"/>
        <v>Oz</v>
      </c>
      <c r="G30" s="5">
        <f t="shared" si="13"/>
        <v>0.9375</v>
      </c>
      <c r="I30" s="7" t="s">
        <v>28</v>
      </c>
      <c r="J30" s="7">
        <v>3.375</v>
      </c>
      <c r="K30" s="7" t="s">
        <v>17</v>
      </c>
      <c r="L30" s="5">
        <f t="shared" si="14"/>
        <v>0.46875</v>
      </c>
      <c r="M30" s="5" t="str">
        <f t="shared" si="15"/>
        <v>Oz</v>
      </c>
      <c r="N30" s="5">
        <f t="shared" si="16"/>
        <v>1.58203125</v>
      </c>
      <c r="P30" s="7" t="s">
        <v>28</v>
      </c>
      <c r="Q30" s="7">
        <v>4.375</v>
      </c>
      <c r="R30" s="7" t="s">
        <v>17</v>
      </c>
      <c r="S30" s="5">
        <f t="shared" si="17"/>
        <v>0.46875</v>
      </c>
      <c r="T30" s="5" t="str">
        <f t="shared" si="18"/>
        <v>Oz</v>
      </c>
      <c r="U30" s="5">
        <f t="shared" si="19"/>
        <v>2.05078125</v>
      </c>
    </row>
    <row r="31" spans="2:21" x14ac:dyDescent="0.35">
      <c r="B31" s="7" t="s">
        <v>88</v>
      </c>
      <c r="C31" s="7">
        <v>2</v>
      </c>
      <c r="D31" s="7" t="s">
        <v>128</v>
      </c>
      <c r="E31" s="5">
        <f>'Food Prices'!P64</f>
        <v>0.23137019230769232</v>
      </c>
      <c r="F31" s="5" t="str">
        <f t="shared" si="12"/>
        <v>Slice</v>
      </c>
      <c r="G31" s="5">
        <f t="shared" si="13"/>
        <v>0.46274038461538464</v>
      </c>
      <c r="I31" s="7" t="s">
        <v>88</v>
      </c>
      <c r="J31" s="7">
        <v>2</v>
      </c>
      <c r="K31" s="7" t="s">
        <v>128</v>
      </c>
      <c r="L31" s="5">
        <f t="shared" si="14"/>
        <v>0.23137019230769232</v>
      </c>
      <c r="M31" s="5" t="str">
        <f t="shared" si="15"/>
        <v>Slice</v>
      </c>
      <c r="N31" s="5">
        <f t="shared" si="16"/>
        <v>0.46274038461538464</v>
      </c>
      <c r="P31" s="7" t="s">
        <v>88</v>
      </c>
      <c r="Q31" s="7">
        <v>3</v>
      </c>
      <c r="R31" s="7" t="s">
        <v>128</v>
      </c>
      <c r="S31" s="5">
        <f t="shared" si="17"/>
        <v>0.23137019230769232</v>
      </c>
      <c r="T31" s="5" t="str">
        <f t="shared" si="18"/>
        <v>Slice</v>
      </c>
      <c r="U31" s="5">
        <f t="shared" si="19"/>
        <v>0.69411057692307698</v>
      </c>
    </row>
    <row r="32" spans="2:21" x14ac:dyDescent="0.35">
      <c r="B32" s="7" t="s">
        <v>89</v>
      </c>
      <c r="C32" s="7">
        <v>3.875</v>
      </c>
      <c r="D32" s="7" t="s">
        <v>17</v>
      </c>
      <c r="E32" s="5">
        <f>'Food Prices'!L69</f>
        <v>0.28749999999999998</v>
      </c>
      <c r="F32" s="5" t="str">
        <f t="shared" si="12"/>
        <v>Oz</v>
      </c>
      <c r="G32" s="5">
        <f t="shared" si="13"/>
        <v>1.1140625</v>
      </c>
      <c r="I32" s="7" t="s">
        <v>89</v>
      </c>
      <c r="J32" s="7">
        <v>5.375</v>
      </c>
      <c r="K32" s="7" t="s">
        <v>17</v>
      </c>
      <c r="L32" s="5">
        <f t="shared" si="14"/>
        <v>0.28749999999999998</v>
      </c>
      <c r="M32" s="5" t="str">
        <f t="shared" si="15"/>
        <v>Oz</v>
      </c>
      <c r="N32" s="5">
        <f t="shared" si="16"/>
        <v>1.5453124999999999</v>
      </c>
      <c r="P32" s="7" t="s">
        <v>89</v>
      </c>
      <c r="Q32" s="7">
        <v>7</v>
      </c>
      <c r="R32" s="7" t="s">
        <v>17</v>
      </c>
      <c r="S32" s="5">
        <f t="shared" si="17"/>
        <v>0.28749999999999998</v>
      </c>
      <c r="T32" s="5" t="str">
        <f t="shared" si="18"/>
        <v>Oz</v>
      </c>
      <c r="U32" s="5">
        <f t="shared" si="19"/>
        <v>2.0124999999999997</v>
      </c>
    </row>
    <row r="33" spans="2:21" x14ac:dyDescent="0.35">
      <c r="B33" s="7" t="s">
        <v>94</v>
      </c>
      <c r="C33" s="7">
        <v>4</v>
      </c>
      <c r="D33" s="7" t="s">
        <v>128</v>
      </c>
      <c r="E33" s="5">
        <f>'Food Prices'!P66</f>
        <v>0.11081654294803818</v>
      </c>
      <c r="F33" s="5" t="str">
        <f t="shared" si="12"/>
        <v>Slice</v>
      </c>
      <c r="G33" s="5">
        <f t="shared" si="13"/>
        <v>0.44326617179215272</v>
      </c>
      <c r="I33" s="7" t="s">
        <v>94</v>
      </c>
      <c r="J33" s="7">
        <v>5</v>
      </c>
      <c r="K33" s="7" t="s">
        <v>128</v>
      </c>
      <c r="L33" s="5">
        <f t="shared" si="14"/>
        <v>0.11081654294803818</v>
      </c>
      <c r="M33" s="5" t="str">
        <f t="shared" si="15"/>
        <v>Slice</v>
      </c>
      <c r="N33" s="5">
        <f t="shared" si="16"/>
        <v>0.55408271474019088</v>
      </c>
      <c r="P33" s="7" t="s">
        <v>94</v>
      </c>
      <c r="Q33" s="7">
        <v>6</v>
      </c>
      <c r="R33" s="7" t="s">
        <v>128</v>
      </c>
      <c r="S33" s="5">
        <f t="shared" si="17"/>
        <v>0.11081654294803818</v>
      </c>
      <c r="T33" s="5" t="str">
        <f t="shared" si="18"/>
        <v>Slice</v>
      </c>
      <c r="U33" s="5">
        <f t="shared" si="19"/>
        <v>0.66489925768822911</v>
      </c>
    </row>
    <row r="34" spans="2:21" x14ac:dyDescent="0.35">
      <c r="B34" s="7" t="s">
        <v>324</v>
      </c>
      <c r="C34" s="7"/>
      <c r="D34" s="7" t="s">
        <v>17</v>
      </c>
      <c r="E34" s="5">
        <f>'Food Prices'!L59</f>
        <v>0.126546875</v>
      </c>
      <c r="F34" s="5" t="str">
        <f t="shared" si="12"/>
        <v>Oz</v>
      </c>
      <c r="G34" s="5">
        <f t="shared" si="13"/>
        <v>0</v>
      </c>
      <c r="I34" s="7" t="s">
        <v>324</v>
      </c>
      <c r="J34" s="7"/>
      <c r="K34" s="7" t="s">
        <v>17</v>
      </c>
      <c r="L34" s="5">
        <f t="shared" si="14"/>
        <v>0.126546875</v>
      </c>
      <c r="M34" s="5" t="str">
        <f t="shared" si="15"/>
        <v>Oz</v>
      </c>
      <c r="N34" s="5">
        <f t="shared" si="16"/>
        <v>0</v>
      </c>
      <c r="P34" s="7" t="s">
        <v>324</v>
      </c>
      <c r="Q34" s="7"/>
      <c r="R34" s="7" t="s">
        <v>17</v>
      </c>
      <c r="S34" s="5">
        <f t="shared" si="17"/>
        <v>0.126546875</v>
      </c>
      <c r="T34" s="5" t="str">
        <f t="shared" si="18"/>
        <v>Oz</v>
      </c>
      <c r="U34" s="5">
        <f t="shared" si="19"/>
        <v>0</v>
      </c>
    </row>
    <row r="35" spans="2:21" x14ac:dyDescent="0.35">
      <c r="B35" s="7" t="s">
        <v>96</v>
      </c>
      <c r="C35" s="7">
        <v>1</v>
      </c>
      <c r="D35" s="7" t="s">
        <v>96</v>
      </c>
      <c r="E35" s="5">
        <f>'Food Prices'!P70</f>
        <v>1.625</v>
      </c>
      <c r="F35" s="5" t="str">
        <f t="shared" si="12"/>
        <v>Steak</v>
      </c>
      <c r="G35" s="5">
        <f t="shared" si="13"/>
        <v>1.625</v>
      </c>
      <c r="I35" s="7" t="s">
        <v>96</v>
      </c>
      <c r="J35" s="7">
        <v>1.5</v>
      </c>
      <c r="K35" s="7" t="s">
        <v>96</v>
      </c>
      <c r="L35" s="5">
        <f t="shared" si="14"/>
        <v>1.625</v>
      </c>
      <c r="M35" s="5" t="str">
        <f t="shared" si="15"/>
        <v>Steak</v>
      </c>
      <c r="N35" s="5">
        <f t="shared" si="16"/>
        <v>2.4375</v>
      </c>
      <c r="P35" s="7" t="s">
        <v>96</v>
      </c>
      <c r="Q35" s="7">
        <v>2</v>
      </c>
      <c r="R35" s="7" t="s">
        <v>96</v>
      </c>
      <c r="S35" s="5">
        <f t="shared" si="17"/>
        <v>1.625</v>
      </c>
      <c r="T35" s="5" t="str">
        <f t="shared" si="18"/>
        <v>Steak</v>
      </c>
      <c r="U35" s="5">
        <f t="shared" si="19"/>
        <v>3.25</v>
      </c>
    </row>
    <row r="36" spans="2:21" x14ac:dyDescent="0.35">
      <c r="B36" s="7" t="s">
        <v>97</v>
      </c>
      <c r="C36" s="7">
        <v>1</v>
      </c>
      <c r="D36" s="7" t="s">
        <v>97</v>
      </c>
      <c r="E36" s="5">
        <f>Recipes!G21</f>
        <v>0.66589814357847965</v>
      </c>
      <c r="F36" s="5" t="str">
        <f t="shared" si="12"/>
        <v>Meatball</v>
      </c>
      <c r="G36" s="5">
        <f t="shared" si="13"/>
        <v>0.66589814357847965</v>
      </c>
      <c r="I36" s="7" t="s">
        <v>97</v>
      </c>
      <c r="J36" s="7">
        <v>1.5</v>
      </c>
      <c r="K36" s="7" t="s">
        <v>97</v>
      </c>
      <c r="L36" s="5">
        <f t="shared" si="14"/>
        <v>0.66589814357847965</v>
      </c>
      <c r="M36" s="5" t="str">
        <f t="shared" si="15"/>
        <v>Meatball</v>
      </c>
      <c r="N36" s="5">
        <f t="shared" si="16"/>
        <v>0.99884721536771948</v>
      </c>
      <c r="P36" s="7" t="s">
        <v>97</v>
      </c>
      <c r="Q36" s="7">
        <v>2</v>
      </c>
      <c r="R36" s="7" t="s">
        <v>97</v>
      </c>
      <c r="S36" s="5">
        <f t="shared" si="17"/>
        <v>0.66589814357847965</v>
      </c>
      <c r="T36" s="5" t="str">
        <f t="shared" si="18"/>
        <v>Meatball</v>
      </c>
      <c r="U36" s="5">
        <f t="shared" si="19"/>
        <v>1.3317962871569593</v>
      </c>
    </row>
    <row r="37" spans="2:21" x14ac:dyDescent="0.35">
      <c r="B37" s="7" t="s">
        <v>98</v>
      </c>
      <c r="C37" s="7">
        <v>1</v>
      </c>
      <c r="D37" s="7" t="s">
        <v>226</v>
      </c>
      <c r="E37" s="5">
        <f>'Food Prices'!P57</f>
        <v>1.9321249999999999</v>
      </c>
      <c r="F37" s="5" t="str">
        <f t="shared" si="12"/>
        <v>Patty</v>
      </c>
      <c r="G37" s="5">
        <f t="shared" si="13"/>
        <v>1.9321249999999999</v>
      </c>
      <c r="I37" s="7" t="s">
        <v>98</v>
      </c>
      <c r="J37" s="7">
        <v>1.5</v>
      </c>
      <c r="K37" s="7" t="s">
        <v>226</v>
      </c>
      <c r="L37" s="5">
        <f t="shared" si="14"/>
        <v>1.9321249999999999</v>
      </c>
      <c r="M37" s="5" t="str">
        <f t="shared" si="15"/>
        <v>Patty</v>
      </c>
      <c r="N37" s="5">
        <f t="shared" si="16"/>
        <v>2.8981874999999997</v>
      </c>
      <c r="P37" s="7" t="s">
        <v>98</v>
      </c>
      <c r="Q37" s="7">
        <v>2</v>
      </c>
      <c r="R37" s="7" t="s">
        <v>226</v>
      </c>
      <c r="S37" s="5">
        <f t="shared" si="17"/>
        <v>1.9321249999999999</v>
      </c>
      <c r="T37" s="5" t="str">
        <f t="shared" si="18"/>
        <v>Patty</v>
      </c>
      <c r="U37" s="5">
        <f t="shared" si="19"/>
        <v>3.8642499999999997</v>
      </c>
    </row>
    <row r="38" spans="2:21" x14ac:dyDescent="0.35">
      <c r="B38" s="7" t="s">
        <v>106</v>
      </c>
      <c r="C38" s="7">
        <v>3.625</v>
      </c>
      <c r="D38" s="7" t="s">
        <v>17</v>
      </c>
      <c r="E38" s="5">
        <f>'Food Prices'!L22</f>
        <v>0.18312500000000001</v>
      </c>
      <c r="F38" s="5" t="str">
        <f t="shared" si="12"/>
        <v>Oz</v>
      </c>
      <c r="G38" s="5">
        <f t="shared" si="13"/>
        <v>0.66382812499999999</v>
      </c>
      <c r="I38" s="7" t="s">
        <v>106</v>
      </c>
      <c r="J38" s="7">
        <v>4.75</v>
      </c>
      <c r="K38" s="7" t="s">
        <v>17</v>
      </c>
      <c r="L38" s="5">
        <f t="shared" si="14"/>
        <v>0.18312500000000001</v>
      </c>
      <c r="M38" s="5" t="str">
        <f t="shared" si="15"/>
        <v>Oz</v>
      </c>
      <c r="N38" s="5">
        <f t="shared" si="16"/>
        <v>0.86984375000000003</v>
      </c>
      <c r="P38" s="7" t="s">
        <v>106</v>
      </c>
      <c r="Q38" s="7">
        <v>6</v>
      </c>
      <c r="R38" s="7" t="s">
        <v>17</v>
      </c>
      <c r="S38" s="5">
        <f t="shared" si="17"/>
        <v>0.18312500000000001</v>
      </c>
      <c r="T38" s="5" t="str">
        <f t="shared" si="18"/>
        <v>Oz</v>
      </c>
      <c r="U38" s="5">
        <f t="shared" si="19"/>
        <v>1.0987500000000001</v>
      </c>
    </row>
    <row r="39" spans="2:21" x14ac:dyDescent="0.35">
      <c r="B39" s="7" t="s">
        <v>82</v>
      </c>
      <c r="C39" s="7">
        <v>2.75</v>
      </c>
      <c r="D39" s="7" t="s">
        <v>17</v>
      </c>
      <c r="E39" s="5">
        <f>'Food Prices'!L25</f>
        <v>0.15625</v>
      </c>
      <c r="F39" s="5" t="str">
        <f t="shared" ref="F39" si="20">D39</f>
        <v>Oz</v>
      </c>
      <c r="G39" s="5">
        <f t="shared" ref="G39" si="21">C39*E39</f>
        <v>0.4296875</v>
      </c>
      <c r="I39" s="7" t="s">
        <v>82</v>
      </c>
      <c r="J39" s="7">
        <v>3.625</v>
      </c>
      <c r="K39" s="7" t="s">
        <v>17</v>
      </c>
      <c r="L39" s="5">
        <f t="shared" si="14"/>
        <v>0.15625</v>
      </c>
      <c r="M39" s="5" t="str">
        <f t="shared" ref="M39" si="22">K39</f>
        <v>Oz</v>
      </c>
      <c r="N39" s="5">
        <f t="shared" ref="N39" si="23">J39*L39</f>
        <v>0.56640625</v>
      </c>
      <c r="P39" s="7" t="s">
        <v>82</v>
      </c>
      <c r="Q39" s="7">
        <v>5</v>
      </c>
      <c r="R39" s="7" t="s">
        <v>17</v>
      </c>
      <c r="S39" s="5">
        <f t="shared" si="17"/>
        <v>0.15625</v>
      </c>
      <c r="T39" s="5" t="str">
        <f t="shared" ref="T39" si="24">R39</f>
        <v>Oz</v>
      </c>
      <c r="U39" s="5">
        <f t="shared" ref="U39" si="25">Q39*S39</f>
        <v>0.78125</v>
      </c>
    </row>
    <row r="40" spans="2:21" x14ac:dyDescent="0.35">
      <c r="B40" s="7" t="s">
        <v>99</v>
      </c>
      <c r="C40" s="7">
        <v>0.625</v>
      </c>
      <c r="D40" s="7" t="s">
        <v>17</v>
      </c>
      <c r="E40" s="5">
        <f>'Food Prices'!L55</f>
        <v>0.46785714285714286</v>
      </c>
      <c r="F40" s="5" t="str">
        <f t="shared" si="12"/>
        <v>Oz</v>
      </c>
      <c r="G40" s="5">
        <f t="shared" si="13"/>
        <v>0.2924107142857143</v>
      </c>
      <c r="I40" s="7" t="s">
        <v>99</v>
      </c>
      <c r="J40" s="7">
        <v>0.875</v>
      </c>
      <c r="K40" s="7" t="s">
        <v>17</v>
      </c>
      <c r="L40" s="5">
        <f t="shared" si="14"/>
        <v>0.46785714285714286</v>
      </c>
      <c r="M40" s="5" t="str">
        <f t="shared" si="15"/>
        <v>Oz</v>
      </c>
      <c r="N40" s="5">
        <f t="shared" si="16"/>
        <v>0.40937499999999999</v>
      </c>
      <c r="P40" s="7" t="s">
        <v>99</v>
      </c>
      <c r="Q40" s="7">
        <v>1.125</v>
      </c>
      <c r="R40" s="7" t="s">
        <v>17</v>
      </c>
      <c r="S40" s="5">
        <f t="shared" si="17"/>
        <v>0.46785714285714286</v>
      </c>
      <c r="T40" s="5" t="str">
        <f t="shared" si="18"/>
        <v>Oz</v>
      </c>
      <c r="U40" s="5">
        <f t="shared" si="19"/>
        <v>0.52633928571428568</v>
      </c>
    </row>
    <row r="41" spans="2:21" x14ac:dyDescent="0.35">
      <c r="B41" s="7" t="s">
        <v>90</v>
      </c>
      <c r="C41" s="7">
        <v>4</v>
      </c>
      <c r="D41" s="7" t="s">
        <v>17</v>
      </c>
      <c r="E41" s="5">
        <f>'Food Prices'!L9</f>
        <v>0.12362903225806451</v>
      </c>
      <c r="F41" s="5" t="str">
        <f t="shared" si="12"/>
        <v>Oz</v>
      </c>
      <c r="G41" s="5">
        <f t="shared" si="13"/>
        <v>0.49451612903225806</v>
      </c>
      <c r="I41" s="7" t="s">
        <v>90</v>
      </c>
      <c r="J41" s="7">
        <v>5.625</v>
      </c>
      <c r="K41" s="7" t="s">
        <v>17</v>
      </c>
      <c r="L41" s="5">
        <f t="shared" si="14"/>
        <v>0.12362903225806451</v>
      </c>
      <c r="M41" s="5" t="str">
        <f t="shared" si="15"/>
        <v>Oz</v>
      </c>
      <c r="N41" s="5">
        <f t="shared" si="16"/>
        <v>0.69541330645161292</v>
      </c>
      <c r="P41" s="7" t="s">
        <v>90</v>
      </c>
      <c r="Q41" s="7">
        <v>9.25</v>
      </c>
      <c r="R41" s="7" t="s">
        <v>17</v>
      </c>
      <c r="S41" s="5">
        <f t="shared" si="17"/>
        <v>0.12362903225806451</v>
      </c>
      <c r="T41" s="5" t="str">
        <f t="shared" si="18"/>
        <v>Oz</v>
      </c>
      <c r="U41" s="5">
        <f t="shared" si="19"/>
        <v>1.1435685483870968</v>
      </c>
    </row>
    <row r="42" spans="2:21" x14ac:dyDescent="0.35">
      <c r="B42" s="7" t="s">
        <v>91</v>
      </c>
      <c r="C42" s="7">
        <v>2.625</v>
      </c>
      <c r="D42" s="7" t="s">
        <v>17</v>
      </c>
      <c r="E42" s="5">
        <f>'Food Prices'!L85</f>
        <v>0.11374999999999999</v>
      </c>
      <c r="F42" s="5" t="str">
        <f t="shared" si="12"/>
        <v>Oz</v>
      </c>
      <c r="G42" s="5">
        <f t="shared" si="13"/>
        <v>0.29859374999999999</v>
      </c>
      <c r="I42" s="7" t="s">
        <v>91</v>
      </c>
      <c r="J42" s="7">
        <v>3.25</v>
      </c>
      <c r="K42" s="7" t="s">
        <v>17</v>
      </c>
      <c r="L42" s="5">
        <f t="shared" si="14"/>
        <v>0.11374999999999999</v>
      </c>
      <c r="M42" s="5" t="str">
        <f t="shared" si="15"/>
        <v>Oz</v>
      </c>
      <c r="N42" s="5">
        <f t="shared" si="16"/>
        <v>0.36968749999999995</v>
      </c>
      <c r="P42" s="7" t="s">
        <v>91</v>
      </c>
      <c r="Q42" s="7">
        <v>5.75</v>
      </c>
      <c r="R42" s="7" t="s">
        <v>17</v>
      </c>
      <c r="S42" s="5">
        <f t="shared" si="17"/>
        <v>0.11374999999999999</v>
      </c>
      <c r="T42" s="5" t="str">
        <f t="shared" si="18"/>
        <v>Oz</v>
      </c>
      <c r="U42" s="5">
        <f t="shared" si="19"/>
        <v>0.65406249999999999</v>
      </c>
    </row>
    <row r="43" spans="2:21" x14ac:dyDescent="0.35">
      <c r="B43" s="7" t="s">
        <v>92</v>
      </c>
      <c r="C43" s="7">
        <v>2.875</v>
      </c>
      <c r="D43" s="7" t="s">
        <v>17</v>
      </c>
      <c r="E43" s="5">
        <f>'Food Prices'!L88</f>
        <v>2.75E-2</v>
      </c>
      <c r="F43" s="5" t="str">
        <f t="shared" si="12"/>
        <v>Oz</v>
      </c>
      <c r="G43" s="5">
        <f t="shared" si="13"/>
        <v>7.9062499999999994E-2</v>
      </c>
      <c r="I43" s="7" t="s">
        <v>92</v>
      </c>
      <c r="J43" s="7">
        <v>3.375</v>
      </c>
      <c r="K43" s="7" t="s">
        <v>17</v>
      </c>
      <c r="L43" s="5">
        <f t="shared" si="14"/>
        <v>2.75E-2</v>
      </c>
      <c r="M43" s="5" t="str">
        <f t="shared" si="15"/>
        <v>Oz</v>
      </c>
      <c r="N43" s="5">
        <f t="shared" si="16"/>
        <v>9.2812500000000006E-2</v>
      </c>
      <c r="P43" s="7" t="s">
        <v>92</v>
      </c>
      <c r="Q43" s="7">
        <v>6.25</v>
      </c>
      <c r="R43" s="7" t="s">
        <v>17</v>
      </c>
      <c r="S43" s="5">
        <f t="shared" si="17"/>
        <v>2.75E-2</v>
      </c>
      <c r="T43" s="5" t="str">
        <f t="shared" si="18"/>
        <v>Oz</v>
      </c>
      <c r="U43" s="5">
        <f t="shared" si="19"/>
        <v>0.171875</v>
      </c>
    </row>
    <row r="44" spans="2:21" x14ac:dyDescent="0.35">
      <c r="B44" s="7" t="s">
        <v>93</v>
      </c>
      <c r="C44" s="7">
        <v>2.75</v>
      </c>
      <c r="D44" s="7" t="s">
        <v>17</v>
      </c>
      <c r="E44" s="5">
        <f>'Food Prices'!L5</f>
        <v>0.13027272727272726</v>
      </c>
      <c r="F44" s="5" t="str">
        <f t="shared" si="12"/>
        <v>Oz</v>
      </c>
      <c r="G44" s="5">
        <f t="shared" si="13"/>
        <v>0.35824999999999996</v>
      </c>
      <c r="I44" s="7" t="s">
        <v>93</v>
      </c>
      <c r="J44" s="7">
        <v>4.125</v>
      </c>
      <c r="K44" s="7" t="s">
        <v>17</v>
      </c>
      <c r="L44" s="5">
        <f t="shared" si="14"/>
        <v>0.13027272727272726</v>
      </c>
      <c r="M44" s="5" t="str">
        <f t="shared" si="15"/>
        <v>Oz</v>
      </c>
      <c r="N44" s="5">
        <f t="shared" si="16"/>
        <v>0.53737499999999994</v>
      </c>
      <c r="P44" s="7" t="s">
        <v>93</v>
      </c>
      <c r="Q44" s="7">
        <v>7.375</v>
      </c>
      <c r="R44" s="7" t="s">
        <v>17</v>
      </c>
      <c r="S44" s="5">
        <f t="shared" si="17"/>
        <v>0.13027272727272726</v>
      </c>
      <c r="T44" s="5" t="str">
        <f t="shared" si="18"/>
        <v>Oz</v>
      </c>
      <c r="U44" s="5">
        <f t="shared" si="19"/>
        <v>0.96076136363636355</v>
      </c>
    </row>
    <row r="45" spans="2:21" x14ac:dyDescent="0.35">
      <c r="B45" s="7" t="s">
        <v>107</v>
      </c>
      <c r="C45" s="7">
        <v>1.75</v>
      </c>
      <c r="D45" s="7" t="s">
        <v>17</v>
      </c>
      <c r="E45" s="5">
        <f>'Food Prices'!L83</f>
        <v>0.113375</v>
      </c>
      <c r="F45" s="5" t="str">
        <f t="shared" si="12"/>
        <v>Oz</v>
      </c>
      <c r="G45" s="5">
        <f t="shared" si="13"/>
        <v>0.19840625000000001</v>
      </c>
      <c r="I45" s="7" t="s">
        <v>107</v>
      </c>
      <c r="J45" s="7">
        <v>2.625</v>
      </c>
      <c r="K45" s="7" t="s">
        <v>17</v>
      </c>
      <c r="L45" s="5">
        <f t="shared" si="14"/>
        <v>0.113375</v>
      </c>
      <c r="M45" s="5" t="str">
        <f t="shared" si="15"/>
        <v>Oz</v>
      </c>
      <c r="N45" s="5">
        <f t="shared" si="16"/>
        <v>0.29760937500000001</v>
      </c>
      <c r="P45" s="7" t="s">
        <v>107</v>
      </c>
      <c r="Q45" s="7">
        <v>3.75</v>
      </c>
      <c r="R45" s="7" t="s">
        <v>17</v>
      </c>
      <c r="S45" s="5">
        <f t="shared" si="17"/>
        <v>0.113375</v>
      </c>
      <c r="T45" s="5" t="str">
        <f t="shared" si="18"/>
        <v>Oz</v>
      </c>
      <c r="U45" s="5">
        <f t="shared" si="19"/>
        <v>0.42515625000000001</v>
      </c>
    </row>
    <row r="46" spans="2:21" x14ac:dyDescent="0.35">
      <c r="B46" s="7" t="s">
        <v>225</v>
      </c>
      <c r="C46" s="7">
        <v>3.5</v>
      </c>
      <c r="D46" s="7" t="s">
        <v>17</v>
      </c>
      <c r="E46" s="5">
        <f>'Food Prices'!L7</f>
        <v>8.9804687499999994E-2</v>
      </c>
      <c r="F46" s="5" t="str">
        <f t="shared" ref="F46" si="26">D46</f>
        <v>Oz</v>
      </c>
      <c r="G46" s="5">
        <f t="shared" ref="G46" si="27">C46*E46</f>
        <v>0.31431640624999996</v>
      </c>
      <c r="I46" s="7" t="s">
        <v>225</v>
      </c>
      <c r="J46" s="7">
        <v>5.375</v>
      </c>
      <c r="K46" s="7" t="s">
        <v>17</v>
      </c>
      <c r="L46" s="5">
        <f t="shared" si="14"/>
        <v>8.9804687499999994E-2</v>
      </c>
      <c r="M46" s="5" t="str">
        <f t="shared" ref="M46" si="28">K46</f>
        <v>Oz</v>
      </c>
      <c r="N46" s="5">
        <f t="shared" ref="N46" si="29">J46*L46</f>
        <v>0.48270019531249997</v>
      </c>
      <c r="P46" s="7" t="s">
        <v>225</v>
      </c>
      <c r="Q46" s="7">
        <v>8.25</v>
      </c>
      <c r="R46" s="7" t="s">
        <v>17</v>
      </c>
      <c r="S46" s="5">
        <f t="shared" si="17"/>
        <v>8.9804687499999994E-2</v>
      </c>
      <c r="T46" s="5" t="str">
        <f t="shared" ref="T46" si="30">R46</f>
        <v>Oz</v>
      </c>
      <c r="U46" s="5">
        <f t="shared" ref="U46" si="31">Q46*S46</f>
        <v>0.74088867187499996</v>
      </c>
    </row>
    <row r="47" spans="2:21" x14ac:dyDescent="0.35">
      <c r="B47" s="7" t="s">
        <v>105</v>
      </c>
      <c r="C47" s="7">
        <v>4.125</v>
      </c>
      <c r="D47" s="7" t="s">
        <v>17</v>
      </c>
      <c r="E47" s="5">
        <f>'Food Prices'!L4</f>
        <v>0.11359848484848484</v>
      </c>
      <c r="F47" s="5" t="str">
        <f t="shared" si="12"/>
        <v>Oz</v>
      </c>
      <c r="G47" s="5">
        <f t="shared" si="13"/>
        <v>0.46859374999999998</v>
      </c>
      <c r="I47" s="7" t="s">
        <v>105</v>
      </c>
      <c r="J47" s="7">
        <v>5.5</v>
      </c>
      <c r="K47" s="7" t="s">
        <v>17</v>
      </c>
      <c r="L47" s="5">
        <f t="shared" si="14"/>
        <v>0.11359848484848484</v>
      </c>
      <c r="M47" s="5" t="str">
        <f t="shared" si="15"/>
        <v>Oz</v>
      </c>
      <c r="N47" s="5">
        <f t="shared" si="16"/>
        <v>0.62479166666666663</v>
      </c>
      <c r="P47" s="7" t="s">
        <v>105</v>
      </c>
      <c r="Q47" s="7">
        <v>7.125</v>
      </c>
      <c r="R47" s="7" t="s">
        <v>17</v>
      </c>
      <c r="S47" s="5">
        <f t="shared" si="17"/>
        <v>0.11359848484848484</v>
      </c>
      <c r="T47" s="5" t="str">
        <f t="shared" si="18"/>
        <v>Oz</v>
      </c>
      <c r="U47" s="5">
        <f t="shared" si="19"/>
        <v>0.80938920454545449</v>
      </c>
    </row>
    <row r="48" spans="2:21" x14ac:dyDescent="0.35">
      <c r="B48" s="7" t="s">
        <v>100</v>
      </c>
      <c r="C48" s="7">
        <v>4.375</v>
      </c>
      <c r="D48" s="7" t="s">
        <v>17</v>
      </c>
      <c r="E48" s="5">
        <f>'Food Prices'!L11</f>
        <v>5.5732087227414337E-2</v>
      </c>
      <c r="F48" s="5" t="str">
        <f t="shared" si="12"/>
        <v>Oz</v>
      </c>
      <c r="G48" s="5">
        <f t="shared" si="13"/>
        <v>0.24382788161993774</v>
      </c>
      <c r="I48" s="7" t="s">
        <v>100</v>
      </c>
      <c r="J48" s="7">
        <v>5</v>
      </c>
      <c r="K48" s="7" t="s">
        <v>17</v>
      </c>
      <c r="L48" s="5">
        <f>E48</f>
        <v>5.5732087227414337E-2</v>
      </c>
      <c r="M48" s="5" t="str">
        <f t="shared" si="15"/>
        <v>Oz</v>
      </c>
      <c r="N48" s="5">
        <f t="shared" si="16"/>
        <v>0.2786604361370717</v>
      </c>
      <c r="P48" s="7" t="s">
        <v>100</v>
      </c>
      <c r="Q48" s="7">
        <v>7.125</v>
      </c>
      <c r="R48" s="7" t="s">
        <v>17</v>
      </c>
      <c r="S48" s="5">
        <f t="shared" si="17"/>
        <v>5.5732087227414337E-2</v>
      </c>
      <c r="T48" s="5" t="str">
        <f t="shared" si="18"/>
        <v>Oz</v>
      </c>
      <c r="U48" s="5">
        <f t="shared" si="19"/>
        <v>0.39709112149532716</v>
      </c>
    </row>
    <row r="49" spans="2:21" x14ac:dyDescent="0.35">
      <c r="B49" s="7" t="s">
        <v>154</v>
      </c>
      <c r="C49" s="7">
        <v>4.625</v>
      </c>
      <c r="D49" s="7" t="s">
        <v>17</v>
      </c>
      <c r="E49" s="5">
        <f>'Food Prices'!L92</f>
        <v>0.1</v>
      </c>
      <c r="F49" s="5" t="str">
        <f t="shared" si="12"/>
        <v>Oz</v>
      </c>
      <c r="G49" s="5">
        <f t="shared" si="13"/>
        <v>0.46250000000000002</v>
      </c>
      <c r="I49" s="7" t="s">
        <v>154</v>
      </c>
      <c r="J49" s="7">
        <v>6.125</v>
      </c>
      <c r="K49" s="7" t="s">
        <v>17</v>
      </c>
      <c r="L49" s="5">
        <f t="shared" si="14"/>
        <v>0.1</v>
      </c>
      <c r="M49" s="5" t="str">
        <f t="shared" si="15"/>
        <v>Oz</v>
      </c>
      <c r="N49" s="5">
        <f t="shared" si="16"/>
        <v>0.61250000000000004</v>
      </c>
      <c r="P49" s="7" t="s">
        <v>154</v>
      </c>
      <c r="Q49" s="7">
        <v>8</v>
      </c>
      <c r="R49" s="7" t="s">
        <v>17</v>
      </c>
      <c r="S49" s="5">
        <f>E49</f>
        <v>0.1</v>
      </c>
      <c r="T49" s="5" t="str">
        <f t="shared" si="18"/>
        <v>Oz</v>
      </c>
      <c r="U49" s="5">
        <f t="shared" si="19"/>
        <v>0.8</v>
      </c>
    </row>
    <row r="50" spans="2:21" x14ac:dyDescent="0.35">
      <c r="B50" s="7" t="s">
        <v>145</v>
      </c>
      <c r="C50" s="7">
        <v>5.125</v>
      </c>
      <c r="D50" s="7" t="s">
        <v>17</v>
      </c>
      <c r="E50" s="5">
        <f>'Food Prices'!L90</f>
        <v>0.06</v>
      </c>
      <c r="F50" s="5" t="str">
        <f t="shared" si="12"/>
        <v>Oz</v>
      </c>
      <c r="G50" s="5">
        <f t="shared" si="13"/>
        <v>0.3075</v>
      </c>
      <c r="I50" s="7" t="s">
        <v>145</v>
      </c>
      <c r="J50" s="7">
        <v>7.5</v>
      </c>
      <c r="K50" s="7" t="s">
        <v>17</v>
      </c>
      <c r="L50" s="5">
        <f t="shared" si="14"/>
        <v>0.06</v>
      </c>
      <c r="M50" s="5" t="str">
        <f t="shared" si="15"/>
        <v>Oz</v>
      </c>
      <c r="N50" s="5">
        <f t="shared" si="16"/>
        <v>0.44999999999999996</v>
      </c>
      <c r="P50" s="7" t="s">
        <v>145</v>
      </c>
      <c r="Q50" s="7">
        <v>9.125</v>
      </c>
      <c r="R50" s="7" t="s">
        <v>17</v>
      </c>
      <c r="S50" s="5">
        <f t="shared" si="17"/>
        <v>0.06</v>
      </c>
      <c r="T50" s="5" t="str">
        <f t="shared" si="18"/>
        <v>Oz</v>
      </c>
      <c r="U50" s="5">
        <f t="shared" si="19"/>
        <v>0.54749999999999999</v>
      </c>
    </row>
    <row r="51" spans="2:21" x14ac:dyDescent="0.35">
      <c r="B51" s="7" t="s">
        <v>109</v>
      </c>
      <c r="C51" s="7">
        <v>0.625</v>
      </c>
      <c r="D51" s="7" t="s">
        <v>17</v>
      </c>
      <c r="E51" s="5"/>
      <c r="F51" s="5" t="str">
        <f t="shared" si="12"/>
        <v>Oz</v>
      </c>
      <c r="G51" s="5">
        <f t="shared" si="13"/>
        <v>0</v>
      </c>
      <c r="I51" s="7" t="s">
        <v>109</v>
      </c>
      <c r="J51" s="7">
        <v>0.875</v>
      </c>
      <c r="K51" s="7" t="s">
        <v>17</v>
      </c>
      <c r="L51" s="5">
        <f t="shared" si="14"/>
        <v>0</v>
      </c>
      <c r="M51" s="5" t="str">
        <f t="shared" si="15"/>
        <v>Oz</v>
      </c>
      <c r="N51" s="5">
        <f t="shared" si="16"/>
        <v>0</v>
      </c>
      <c r="P51" s="7" t="s">
        <v>109</v>
      </c>
      <c r="Q51" s="7">
        <v>1.125</v>
      </c>
      <c r="R51" s="7" t="s">
        <v>17</v>
      </c>
      <c r="S51" s="5">
        <f t="shared" si="17"/>
        <v>0</v>
      </c>
      <c r="T51" s="5" t="str">
        <f t="shared" si="18"/>
        <v>Oz</v>
      </c>
      <c r="U51" s="5">
        <f t="shared" si="19"/>
        <v>0</v>
      </c>
    </row>
    <row r="52" spans="2:21" x14ac:dyDescent="0.35">
      <c r="B52" s="7" t="s">
        <v>108</v>
      </c>
      <c r="C52" s="7">
        <v>0.125</v>
      </c>
      <c r="D52" s="7" t="s">
        <v>17</v>
      </c>
      <c r="E52" s="5">
        <f>'Food Prices'!L109</f>
        <v>4.3437499999999997E-2</v>
      </c>
      <c r="F52" s="5" t="str">
        <f>D52</f>
        <v>Oz</v>
      </c>
      <c r="G52" s="5">
        <f>C52*E52</f>
        <v>5.4296874999999996E-3</v>
      </c>
      <c r="I52" s="7" t="s">
        <v>108</v>
      </c>
      <c r="J52" s="7">
        <v>0.25</v>
      </c>
      <c r="K52" s="7" t="s">
        <v>17</v>
      </c>
      <c r="L52" s="5">
        <f t="shared" si="14"/>
        <v>4.3437499999999997E-2</v>
      </c>
      <c r="M52" s="5" t="str">
        <f>K52</f>
        <v>Oz</v>
      </c>
      <c r="N52" s="5">
        <f>J52*L52</f>
        <v>1.0859374999999999E-2</v>
      </c>
      <c r="P52" s="7" t="s">
        <v>108</v>
      </c>
      <c r="Q52" s="7">
        <v>0.375</v>
      </c>
      <c r="R52" s="7" t="s">
        <v>17</v>
      </c>
      <c r="S52" s="5">
        <f t="shared" si="17"/>
        <v>4.3437499999999997E-2</v>
      </c>
      <c r="T52" s="5" t="str">
        <f t="shared" si="18"/>
        <v>Oz</v>
      </c>
      <c r="U52" s="5">
        <f t="shared" si="19"/>
        <v>1.62890625E-2</v>
      </c>
    </row>
    <row r="55" spans="2:21" ht="23.5" x14ac:dyDescent="0.55000000000000004">
      <c r="C55" s="118" t="s">
        <v>110</v>
      </c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</row>
    <row r="56" spans="2:21" ht="15.5" x14ac:dyDescent="0.3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19" t="s">
        <v>113</v>
      </c>
      <c r="Q56" s="120"/>
      <c r="R56" s="120"/>
      <c r="S56" s="120"/>
      <c r="T56" s="120"/>
      <c r="U56" s="121"/>
    </row>
    <row r="57" spans="2:21" ht="15.5" x14ac:dyDescent="0.35">
      <c r="B57" s="119" t="s">
        <v>111</v>
      </c>
      <c r="C57" s="120"/>
      <c r="D57" s="121"/>
      <c r="E57" s="122" t="s">
        <v>7</v>
      </c>
      <c r="F57" s="123"/>
      <c r="G57" s="30">
        <f>SUM(G61:G65)</f>
        <v>4.7350766263046618</v>
      </c>
      <c r="I57" s="119" t="s">
        <v>112</v>
      </c>
      <c r="J57" s="120"/>
      <c r="K57" s="121"/>
      <c r="L57" s="122" t="s">
        <v>7</v>
      </c>
      <c r="M57" s="123"/>
      <c r="N57" s="30">
        <f>SUM(N61:N69)</f>
        <v>1.3368814982704267</v>
      </c>
      <c r="P57" s="9"/>
      <c r="U57" s="8"/>
    </row>
    <row r="58" spans="2:21" x14ac:dyDescent="0.35">
      <c r="B58" s="9"/>
      <c r="G58" s="8"/>
      <c r="I58" s="9"/>
      <c r="N58" s="8"/>
      <c r="P58" s="10"/>
      <c r="Q58" s="124" t="s">
        <v>13</v>
      </c>
      <c r="R58" s="125"/>
      <c r="S58" s="124" t="s">
        <v>14</v>
      </c>
      <c r="T58" s="125"/>
      <c r="U58" s="5" t="s">
        <v>6</v>
      </c>
    </row>
    <row r="59" spans="2:21" x14ac:dyDescent="0.35">
      <c r="B59" s="10"/>
      <c r="C59" s="124" t="s">
        <v>13</v>
      </c>
      <c r="D59" s="125"/>
      <c r="E59" s="124" t="s">
        <v>14</v>
      </c>
      <c r="F59" s="125"/>
      <c r="G59" s="5" t="s">
        <v>6</v>
      </c>
      <c r="I59" s="10"/>
      <c r="J59" s="124" t="s">
        <v>13</v>
      </c>
      <c r="K59" s="125"/>
      <c r="L59" s="124" t="s">
        <v>14</v>
      </c>
      <c r="M59" s="125"/>
      <c r="N59" s="5" t="s">
        <v>6</v>
      </c>
      <c r="P59" s="5" t="s">
        <v>10</v>
      </c>
      <c r="Q59" s="5" t="s">
        <v>2</v>
      </c>
      <c r="R59" s="5" t="s">
        <v>1</v>
      </c>
      <c r="S59" s="5" t="s">
        <v>11</v>
      </c>
      <c r="T59" s="5" t="s">
        <v>1</v>
      </c>
      <c r="U59" s="5" t="s">
        <v>15</v>
      </c>
    </row>
    <row r="60" spans="2:21" x14ac:dyDescent="0.35">
      <c r="B60" s="5" t="s">
        <v>10</v>
      </c>
      <c r="C60" s="5" t="s">
        <v>2</v>
      </c>
      <c r="D60" s="5" t="s">
        <v>1</v>
      </c>
      <c r="E60" s="5" t="s">
        <v>11</v>
      </c>
      <c r="F60" s="5" t="s">
        <v>1</v>
      </c>
      <c r="G60" s="5" t="s">
        <v>15</v>
      </c>
      <c r="I60" s="5" t="s">
        <v>10</v>
      </c>
      <c r="J60" s="5" t="s">
        <v>2</v>
      </c>
      <c r="K60" s="5" t="s">
        <v>1</v>
      </c>
      <c r="L60" s="5" t="s">
        <v>11</v>
      </c>
      <c r="M60" s="5" t="s">
        <v>1</v>
      </c>
      <c r="N60" s="5" t="s">
        <v>15</v>
      </c>
      <c r="P60" s="7" t="s">
        <v>86</v>
      </c>
      <c r="Q60" s="7">
        <v>6.125</v>
      </c>
      <c r="R60" s="7" t="s">
        <v>17</v>
      </c>
      <c r="S60" s="5">
        <f>E28</f>
        <v>0.29696428571428574</v>
      </c>
      <c r="T60" s="5" t="str">
        <f>R60</f>
        <v>Oz</v>
      </c>
      <c r="U60" s="5">
        <f>Q60*S60</f>
        <v>1.8189062500000002</v>
      </c>
    </row>
    <row r="61" spans="2:21" x14ac:dyDescent="0.35">
      <c r="B61" s="7" t="s">
        <v>61</v>
      </c>
      <c r="C61" s="7">
        <v>44</v>
      </c>
      <c r="D61" s="7" t="s">
        <v>17</v>
      </c>
      <c r="E61" s="5">
        <f>S7</f>
        <v>3.3574516898448738E-2</v>
      </c>
      <c r="F61" s="5" t="str">
        <f>D61</f>
        <v>Oz</v>
      </c>
      <c r="G61" s="5">
        <f>C61*E61</f>
        <v>1.4772787435317445</v>
      </c>
      <c r="I61" s="7" t="s">
        <v>61</v>
      </c>
      <c r="J61" s="7">
        <v>22</v>
      </c>
      <c r="K61" s="7" t="s">
        <v>17</v>
      </c>
      <c r="L61" s="5">
        <f>L7</f>
        <v>3.3574516898448738E-2</v>
      </c>
      <c r="M61" s="5" t="str">
        <f>K61</f>
        <v>Oz</v>
      </c>
      <c r="N61" s="5">
        <f>J61*L61</f>
        <v>0.73863937176587224</v>
      </c>
      <c r="P61" s="7" t="s">
        <v>87</v>
      </c>
      <c r="Q61" s="7">
        <v>5.375</v>
      </c>
      <c r="R61" s="7" t="s">
        <v>17</v>
      </c>
      <c r="S61" s="5">
        <f t="shared" ref="S61:S84" si="32">E29</f>
        <v>0.27918750000000003</v>
      </c>
      <c r="T61" s="5" t="str">
        <f t="shared" ref="T61:T70" si="33">R61</f>
        <v>Oz</v>
      </c>
      <c r="U61" s="5">
        <f t="shared" ref="U61:U70" si="34">Q61*S61</f>
        <v>1.5006328125000001</v>
      </c>
    </row>
    <row r="62" spans="2:21" x14ac:dyDescent="0.35">
      <c r="B62" s="7" t="s">
        <v>84</v>
      </c>
      <c r="C62" s="7">
        <f>Q8*2</f>
        <v>13.34</v>
      </c>
      <c r="D62" s="7" t="s">
        <v>17</v>
      </c>
      <c r="E62" s="5">
        <f>S8</f>
        <v>3.9433874270833336E-2</v>
      </c>
      <c r="F62" s="5" t="str">
        <f t="shared" ref="F62:F64" si="35">D62</f>
        <v>Oz</v>
      </c>
      <c r="G62" s="5">
        <f>C62*E62</f>
        <v>0.5260478827729167</v>
      </c>
      <c r="I62" s="7" t="s">
        <v>117</v>
      </c>
      <c r="J62" s="7">
        <v>25</v>
      </c>
      <c r="K62" s="7" t="s">
        <v>17</v>
      </c>
      <c r="L62" s="5"/>
      <c r="M62" s="5" t="str">
        <f t="shared" ref="M62:M64" si="36">K62</f>
        <v>Oz</v>
      </c>
      <c r="N62" s="5">
        <f t="shared" ref="N62:N64" si="37">J62*L62</f>
        <v>0</v>
      </c>
      <c r="P62" s="7" t="s">
        <v>28</v>
      </c>
      <c r="Q62" s="7">
        <v>4.625</v>
      </c>
      <c r="R62" s="7" t="s">
        <v>17</v>
      </c>
      <c r="S62" s="5">
        <f t="shared" si="32"/>
        <v>0.46875</v>
      </c>
      <c r="T62" s="5" t="str">
        <f t="shared" si="33"/>
        <v>Oz</v>
      </c>
      <c r="U62" s="5">
        <f t="shared" si="34"/>
        <v>2.16796875</v>
      </c>
    </row>
    <row r="63" spans="2:21" x14ac:dyDescent="0.35">
      <c r="B63" s="7" t="s">
        <v>22</v>
      </c>
      <c r="C63" s="7">
        <v>13.125</v>
      </c>
      <c r="D63" s="7" t="s">
        <v>17</v>
      </c>
      <c r="E63" s="5">
        <f>S38</f>
        <v>0.18312500000000001</v>
      </c>
      <c r="F63" s="5" t="str">
        <f t="shared" si="35"/>
        <v>Oz</v>
      </c>
      <c r="G63" s="5">
        <f t="shared" ref="G63:G64" si="38">C63*E63</f>
        <v>2.4035156250000003</v>
      </c>
      <c r="I63" s="7" t="s">
        <v>118</v>
      </c>
      <c r="J63" s="7">
        <v>0.85</v>
      </c>
      <c r="K63" s="7" t="s">
        <v>228</v>
      </c>
      <c r="L63" s="5">
        <f>'Food Prices'!L79</f>
        <v>0.13305139882888745</v>
      </c>
      <c r="M63" s="5" t="str">
        <f t="shared" si="36"/>
        <v>Oz (fluid)</v>
      </c>
      <c r="N63" s="5">
        <f t="shared" si="37"/>
        <v>0.11309368900455433</v>
      </c>
      <c r="P63" s="7" t="s">
        <v>88</v>
      </c>
      <c r="Q63" s="7">
        <v>3</v>
      </c>
      <c r="R63" s="7" t="s">
        <v>128</v>
      </c>
      <c r="S63" s="5">
        <f t="shared" si="32"/>
        <v>0.23137019230769232</v>
      </c>
      <c r="T63" s="5" t="str">
        <f t="shared" si="33"/>
        <v>Slice</v>
      </c>
      <c r="U63" s="5">
        <f t="shared" si="34"/>
        <v>0.69411057692307698</v>
      </c>
    </row>
    <row r="64" spans="2:21" x14ac:dyDescent="0.35">
      <c r="B64" s="7" t="s">
        <v>181</v>
      </c>
      <c r="C64" s="7">
        <v>1</v>
      </c>
      <c r="D64" s="7" t="s">
        <v>73</v>
      </c>
      <c r="E64" s="5">
        <f>S10</f>
        <v>0.30980000000000002</v>
      </c>
      <c r="F64" s="5" t="str">
        <f t="shared" si="35"/>
        <v>Box</v>
      </c>
      <c r="G64" s="5">
        <f t="shared" si="38"/>
        <v>0.30980000000000002</v>
      </c>
      <c r="I64" s="7" t="s">
        <v>108</v>
      </c>
      <c r="J64" s="7">
        <f>Q52</f>
        <v>0.375</v>
      </c>
      <c r="K64" s="7" t="s">
        <v>17</v>
      </c>
      <c r="L64" s="5">
        <f>L52</f>
        <v>4.3437499999999997E-2</v>
      </c>
      <c r="M64" s="5" t="str">
        <f t="shared" si="36"/>
        <v>Oz</v>
      </c>
      <c r="N64" s="5">
        <f t="shared" si="37"/>
        <v>1.62890625E-2</v>
      </c>
      <c r="P64" s="7" t="s">
        <v>89</v>
      </c>
      <c r="Q64" s="7">
        <v>7.375</v>
      </c>
      <c r="R64" s="7" t="s">
        <v>17</v>
      </c>
      <c r="S64" s="5">
        <f t="shared" si="32"/>
        <v>0.28749999999999998</v>
      </c>
      <c r="T64" s="5" t="str">
        <f t="shared" si="33"/>
        <v>Oz</v>
      </c>
      <c r="U64" s="5">
        <f t="shared" si="34"/>
        <v>2.1203124999999998</v>
      </c>
    </row>
    <row r="65" spans="2:21" x14ac:dyDescent="0.35">
      <c r="B65" s="7" t="s">
        <v>130</v>
      </c>
      <c r="C65" s="7">
        <v>1</v>
      </c>
      <c r="D65" s="7" t="s">
        <v>74</v>
      </c>
      <c r="E65" s="5">
        <f>S11</f>
        <v>1.8434374999999999E-2</v>
      </c>
      <c r="F65" s="5" t="str">
        <f>D65</f>
        <v>Paper</v>
      </c>
      <c r="G65" s="5">
        <f>C65*E65</f>
        <v>1.8434374999999999E-2</v>
      </c>
      <c r="I65" s="7" t="s">
        <v>109</v>
      </c>
      <c r="J65" s="7">
        <f>Q51</f>
        <v>1.125</v>
      </c>
      <c r="K65" s="7" t="s">
        <v>17</v>
      </c>
      <c r="L65" s="5">
        <f>L51</f>
        <v>0</v>
      </c>
      <c r="M65" s="5" t="str">
        <f>K65</f>
        <v>Oz</v>
      </c>
      <c r="N65" s="5">
        <f>J65*L65</f>
        <v>0</v>
      </c>
      <c r="P65" s="7" t="s">
        <v>94</v>
      </c>
      <c r="Q65" s="7">
        <v>5</v>
      </c>
      <c r="R65" s="7" t="s">
        <v>128</v>
      </c>
      <c r="S65" s="5">
        <f t="shared" si="32"/>
        <v>0.11081654294803818</v>
      </c>
      <c r="T65" s="5" t="str">
        <f t="shared" si="33"/>
        <v>Slice</v>
      </c>
      <c r="U65" s="5">
        <f t="shared" si="34"/>
        <v>0.55408271474019088</v>
      </c>
    </row>
    <row r="66" spans="2:21" x14ac:dyDescent="0.35">
      <c r="I66" s="7" t="s">
        <v>119</v>
      </c>
      <c r="J66" s="7">
        <v>0.219</v>
      </c>
      <c r="K66" s="7" t="s">
        <v>17</v>
      </c>
      <c r="L66" s="5"/>
      <c r="M66" s="5" t="str">
        <f t="shared" ref="M66" si="39">K66</f>
        <v>Oz</v>
      </c>
      <c r="N66" s="5">
        <f t="shared" ref="N66" si="40">J66*L66</f>
        <v>0</v>
      </c>
      <c r="P66" s="7" t="s">
        <v>324</v>
      </c>
      <c r="Q66" s="7"/>
      <c r="R66" s="7" t="s">
        <v>17</v>
      </c>
      <c r="S66" s="5">
        <f t="shared" si="32"/>
        <v>0.126546875</v>
      </c>
      <c r="T66" s="5" t="str">
        <f t="shared" si="33"/>
        <v>Oz</v>
      </c>
      <c r="U66" s="5">
        <f t="shared" si="34"/>
        <v>0</v>
      </c>
    </row>
    <row r="67" spans="2:21" ht="15.5" x14ac:dyDescent="0.35">
      <c r="B67" s="119" t="s">
        <v>114</v>
      </c>
      <c r="C67" s="120"/>
      <c r="D67" s="121"/>
      <c r="E67" s="122" t="s">
        <v>7</v>
      </c>
      <c r="F67" s="123"/>
      <c r="G67" s="30">
        <f>SUM(G71:G81)</f>
        <v>12.697823854127243</v>
      </c>
      <c r="I67" s="7" t="s">
        <v>229</v>
      </c>
      <c r="J67" s="7">
        <v>0.375</v>
      </c>
      <c r="K67" s="7" t="s">
        <v>17</v>
      </c>
      <c r="L67" s="5">
        <f>'Food Prices'!L26</f>
        <v>0.375</v>
      </c>
      <c r="M67" s="5" t="str">
        <f>K67</f>
        <v>Oz</v>
      </c>
      <c r="N67" s="5">
        <f>J67*L67</f>
        <v>0.140625</v>
      </c>
      <c r="P67" s="7" t="s">
        <v>96</v>
      </c>
      <c r="Q67" s="7">
        <v>2</v>
      </c>
      <c r="R67" s="7" t="s">
        <v>96</v>
      </c>
      <c r="S67" s="5">
        <f t="shared" si="32"/>
        <v>1.625</v>
      </c>
      <c r="T67" s="5" t="str">
        <f t="shared" si="33"/>
        <v>Steak</v>
      </c>
      <c r="U67" s="5">
        <f t="shared" si="34"/>
        <v>3.25</v>
      </c>
    </row>
    <row r="68" spans="2:21" x14ac:dyDescent="0.35">
      <c r="B68" s="9"/>
      <c r="G68" s="8"/>
      <c r="I68" s="7" t="s">
        <v>181</v>
      </c>
      <c r="J68" s="7">
        <v>1</v>
      </c>
      <c r="K68" s="7" t="s">
        <v>73</v>
      </c>
      <c r="L68" s="5">
        <f>L10</f>
        <v>0.30980000000000002</v>
      </c>
      <c r="M68" s="5" t="str">
        <f t="shared" ref="M68" si="41">K68</f>
        <v>Box</v>
      </c>
      <c r="N68" s="5">
        <f t="shared" ref="N68" si="42">J68*L68</f>
        <v>0.30980000000000002</v>
      </c>
      <c r="P68" s="7" t="s">
        <v>97</v>
      </c>
      <c r="Q68" s="7">
        <v>2</v>
      </c>
      <c r="R68" s="7" t="s">
        <v>97</v>
      </c>
      <c r="S68" s="5">
        <f t="shared" si="32"/>
        <v>0.66589814357847965</v>
      </c>
      <c r="T68" s="5" t="str">
        <f t="shared" si="33"/>
        <v>Meatball</v>
      </c>
      <c r="U68" s="5">
        <f t="shared" si="34"/>
        <v>1.3317962871569593</v>
      </c>
    </row>
    <row r="69" spans="2:21" x14ac:dyDescent="0.35">
      <c r="B69" s="10"/>
      <c r="C69" s="124" t="s">
        <v>13</v>
      </c>
      <c r="D69" s="125"/>
      <c r="E69" s="124" t="s">
        <v>14</v>
      </c>
      <c r="F69" s="125"/>
      <c r="G69" s="5" t="s">
        <v>6</v>
      </c>
      <c r="I69" s="7" t="s">
        <v>130</v>
      </c>
      <c r="J69" s="7">
        <v>1</v>
      </c>
      <c r="K69" s="7" t="s">
        <v>74</v>
      </c>
      <c r="L69" s="5">
        <f>L11</f>
        <v>1.8434374999999999E-2</v>
      </c>
      <c r="M69" s="5" t="str">
        <f>K69</f>
        <v>Paper</v>
      </c>
      <c r="N69" s="5">
        <f>J69*L69</f>
        <v>1.8434374999999999E-2</v>
      </c>
      <c r="P69" s="7" t="s">
        <v>98</v>
      </c>
      <c r="Q69" s="7">
        <v>2</v>
      </c>
      <c r="R69" s="7" t="s">
        <v>226</v>
      </c>
      <c r="S69" s="5">
        <f t="shared" si="32"/>
        <v>1.9321249999999999</v>
      </c>
      <c r="T69" s="5" t="str">
        <f t="shared" si="33"/>
        <v>Patty</v>
      </c>
      <c r="U69" s="5">
        <f t="shared" si="34"/>
        <v>3.8642499999999997</v>
      </c>
    </row>
    <row r="70" spans="2:21" ht="15.5" x14ac:dyDescent="0.35">
      <c r="B70" s="5" t="s">
        <v>10</v>
      </c>
      <c r="C70" s="5" t="s">
        <v>2</v>
      </c>
      <c r="D70" s="5" t="s">
        <v>1</v>
      </c>
      <c r="E70" s="5" t="s">
        <v>11</v>
      </c>
      <c r="F70" s="5" t="s">
        <v>1</v>
      </c>
      <c r="G70" s="5" t="s">
        <v>15</v>
      </c>
      <c r="I70" s="130"/>
      <c r="J70" s="130"/>
      <c r="K70" s="130"/>
      <c r="L70" s="131"/>
      <c r="M70" s="131"/>
      <c r="N70" s="46"/>
      <c r="P70" s="7" t="s">
        <v>106</v>
      </c>
      <c r="Q70" s="7">
        <v>11.125</v>
      </c>
      <c r="R70" s="7" t="s">
        <v>17</v>
      </c>
      <c r="S70" s="5">
        <f t="shared" si="32"/>
        <v>0.18312500000000001</v>
      </c>
      <c r="T70" s="5" t="str">
        <f t="shared" si="33"/>
        <v>Oz</v>
      </c>
      <c r="U70" s="5">
        <f t="shared" si="34"/>
        <v>2.0372656250000003</v>
      </c>
    </row>
    <row r="71" spans="2:21" x14ac:dyDescent="0.35">
      <c r="B71" s="7" t="s">
        <v>61</v>
      </c>
      <c r="C71" s="7">
        <v>44</v>
      </c>
      <c r="D71" s="7" t="s">
        <v>17</v>
      </c>
      <c r="E71" s="5">
        <f>S7</f>
        <v>3.3574516898448738E-2</v>
      </c>
      <c r="F71" s="5" t="str">
        <f>D71</f>
        <v>Oz</v>
      </c>
      <c r="G71" s="5">
        <f>C71*E71</f>
        <v>1.4772787435317445</v>
      </c>
      <c r="I71" s="1"/>
      <c r="J71" s="1"/>
      <c r="K71" s="1"/>
      <c r="L71" s="11"/>
      <c r="M71" s="11"/>
      <c r="N71" s="2"/>
      <c r="P71" s="7"/>
      <c r="Q71" s="7"/>
      <c r="R71" s="7"/>
      <c r="S71" s="5">
        <f t="shared" si="32"/>
        <v>0.15625</v>
      </c>
      <c r="T71" s="5"/>
      <c r="U71" s="5"/>
    </row>
    <row r="72" spans="2:21" ht="15.5" x14ac:dyDescent="0.35">
      <c r="B72" s="7" t="s">
        <v>84</v>
      </c>
      <c r="C72" s="7">
        <f>C62</f>
        <v>13.34</v>
      </c>
      <c r="D72" s="7" t="s">
        <v>17</v>
      </c>
      <c r="E72" s="5">
        <f>S8</f>
        <v>3.9433874270833336E-2</v>
      </c>
      <c r="F72" s="5" t="str">
        <f t="shared" ref="F72:F74" si="43">D72</f>
        <v>Oz</v>
      </c>
      <c r="G72" s="5">
        <f t="shared" ref="G72:G74" si="44">C72*E72</f>
        <v>0.5260478827729167</v>
      </c>
      <c r="I72" s="119" t="s">
        <v>115</v>
      </c>
      <c r="J72" s="120"/>
      <c r="K72" s="121"/>
      <c r="L72" s="122" t="s">
        <v>7</v>
      </c>
      <c r="M72" s="123"/>
      <c r="N72" s="30">
        <f>SUM(N76:N80)</f>
        <v>6.8931321943031252</v>
      </c>
      <c r="P72" s="7" t="s">
        <v>99</v>
      </c>
      <c r="Q72" s="7">
        <v>1.625</v>
      </c>
      <c r="R72" s="7" t="s">
        <v>17</v>
      </c>
      <c r="S72" s="5">
        <f t="shared" si="32"/>
        <v>0.46785714285714286</v>
      </c>
      <c r="T72" s="5" t="str">
        <f t="shared" ref="T72:T78" si="45">R72</f>
        <v>Oz</v>
      </c>
      <c r="U72" s="5">
        <f t="shared" ref="U72:U78" si="46">Q72*S72</f>
        <v>0.76026785714285716</v>
      </c>
    </row>
    <row r="73" spans="2:21" x14ac:dyDescent="0.35">
      <c r="B73" s="7" t="s">
        <v>22</v>
      </c>
      <c r="C73" s="7">
        <f>C63</f>
        <v>13.125</v>
      </c>
      <c r="D73" s="7" t="s">
        <v>17</v>
      </c>
      <c r="E73" s="5">
        <f>S9</f>
        <v>0.18312500000000001</v>
      </c>
      <c r="F73" s="5" t="str">
        <f t="shared" si="43"/>
        <v>Oz</v>
      </c>
      <c r="G73" s="5">
        <f t="shared" si="44"/>
        <v>2.4035156250000003</v>
      </c>
      <c r="I73" s="9"/>
      <c r="N73" s="8"/>
      <c r="P73" s="7" t="s">
        <v>90</v>
      </c>
      <c r="Q73" s="7">
        <v>12.875</v>
      </c>
      <c r="R73" s="7" t="s">
        <v>17</v>
      </c>
      <c r="S73" s="5">
        <f t="shared" si="32"/>
        <v>0.12362903225806451</v>
      </c>
      <c r="T73" s="5" t="str">
        <f t="shared" si="45"/>
        <v>Oz</v>
      </c>
      <c r="U73" s="5">
        <f t="shared" si="46"/>
        <v>1.5917237903225807</v>
      </c>
    </row>
    <row r="74" spans="2:21" x14ac:dyDescent="0.35">
      <c r="B74" s="7" t="s">
        <v>86</v>
      </c>
      <c r="C74" s="7">
        <f>Q60</f>
        <v>6.125</v>
      </c>
      <c r="D74" s="7" t="s">
        <v>17</v>
      </c>
      <c r="E74" s="5">
        <f>S28</f>
        <v>0.29696428571428574</v>
      </c>
      <c r="F74" s="5" t="str">
        <f t="shared" si="43"/>
        <v>Oz</v>
      </c>
      <c r="G74" s="5">
        <f t="shared" si="44"/>
        <v>1.8189062500000002</v>
      </c>
      <c r="I74" s="10"/>
      <c r="J74" s="124" t="s">
        <v>13</v>
      </c>
      <c r="K74" s="125"/>
      <c r="L74" s="124" t="s">
        <v>14</v>
      </c>
      <c r="M74" s="125"/>
      <c r="N74" s="5" t="s">
        <v>6</v>
      </c>
      <c r="P74" s="7" t="s">
        <v>91</v>
      </c>
      <c r="Q74" s="7">
        <v>7.375</v>
      </c>
      <c r="R74" s="7" t="s">
        <v>17</v>
      </c>
      <c r="S74" s="5">
        <f t="shared" si="32"/>
        <v>0.11374999999999999</v>
      </c>
      <c r="T74" s="5" t="str">
        <f t="shared" si="45"/>
        <v>Oz</v>
      </c>
      <c r="U74" s="5">
        <f t="shared" si="46"/>
        <v>0.83890624999999996</v>
      </c>
    </row>
    <row r="75" spans="2:21" x14ac:dyDescent="0.35">
      <c r="B75" s="7" t="s">
        <v>87</v>
      </c>
      <c r="C75" s="7">
        <f>Q61</f>
        <v>5.375</v>
      </c>
      <c r="D75" s="7" t="s">
        <v>17</v>
      </c>
      <c r="E75" s="5">
        <f>S29</f>
        <v>0.27918750000000003</v>
      </c>
      <c r="F75" s="5" t="str">
        <f>D75</f>
        <v>Oz</v>
      </c>
      <c r="G75" s="5">
        <f>C75*E75</f>
        <v>1.5006328125000001</v>
      </c>
      <c r="I75" s="5" t="s">
        <v>10</v>
      </c>
      <c r="J75" s="5" t="s">
        <v>2</v>
      </c>
      <c r="K75" s="5" t="s">
        <v>1</v>
      </c>
      <c r="L75" s="5" t="s">
        <v>11</v>
      </c>
      <c r="M75" s="5" t="s">
        <v>1</v>
      </c>
      <c r="N75" s="5" t="s">
        <v>15</v>
      </c>
      <c r="P75" s="7" t="s">
        <v>92</v>
      </c>
      <c r="Q75" s="7">
        <v>6.375</v>
      </c>
      <c r="R75" s="7" t="s">
        <v>17</v>
      </c>
      <c r="S75" s="5">
        <f t="shared" si="32"/>
        <v>2.75E-2</v>
      </c>
      <c r="T75" s="5" t="str">
        <f t="shared" si="45"/>
        <v>Oz</v>
      </c>
      <c r="U75" s="5">
        <f t="shared" si="46"/>
        <v>0.17531250000000001</v>
      </c>
    </row>
    <row r="76" spans="2:21" x14ac:dyDescent="0.35">
      <c r="B76" s="7" t="s">
        <v>106</v>
      </c>
      <c r="C76" s="7">
        <f>Q70</f>
        <v>11.125</v>
      </c>
      <c r="D76" s="7" t="s">
        <v>17</v>
      </c>
      <c r="E76" s="5">
        <f>S38</f>
        <v>0.18312500000000001</v>
      </c>
      <c r="F76" s="5" t="str">
        <f>D76</f>
        <v>Oz</v>
      </c>
      <c r="G76" s="5">
        <f>C76*E76</f>
        <v>2.0372656250000003</v>
      </c>
      <c r="I76" s="7" t="s">
        <v>116</v>
      </c>
      <c r="J76" s="7">
        <v>1</v>
      </c>
      <c r="K76" s="7" t="s">
        <v>227</v>
      </c>
      <c r="L76" s="5">
        <f>'Food Prices'!J52</f>
        <v>5.8</v>
      </c>
      <c r="M76" s="5" t="str">
        <f>K76</f>
        <v>Crust</v>
      </c>
      <c r="N76" s="5">
        <f>J76*L76</f>
        <v>5.8</v>
      </c>
      <c r="P76" s="7" t="s">
        <v>93</v>
      </c>
      <c r="Q76" s="7">
        <v>7.125</v>
      </c>
      <c r="R76" s="7" t="s">
        <v>17</v>
      </c>
      <c r="S76" s="5">
        <f t="shared" si="32"/>
        <v>0.13027272727272726</v>
      </c>
      <c r="T76" s="5" t="str">
        <f t="shared" si="45"/>
        <v>Oz</v>
      </c>
      <c r="U76" s="5">
        <f t="shared" si="46"/>
        <v>0.92819318181818178</v>
      </c>
    </row>
    <row r="77" spans="2:21" x14ac:dyDescent="0.35">
      <c r="B77" s="7" t="s">
        <v>91</v>
      </c>
      <c r="C77" s="7">
        <f>Q74</f>
        <v>7.375</v>
      </c>
      <c r="D77" s="7" t="s">
        <v>17</v>
      </c>
      <c r="E77" s="5">
        <f>S42</f>
        <v>0.11374999999999999</v>
      </c>
      <c r="F77" s="5" t="str">
        <f t="shared" ref="F77:F80" si="47">D77</f>
        <v>Oz</v>
      </c>
      <c r="G77" s="5">
        <f t="shared" ref="G77:G80" si="48">C77*E77</f>
        <v>0.83890624999999996</v>
      </c>
      <c r="I77" s="7" t="s">
        <v>84</v>
      </c>
      <c r="J77" s="7">
        <f>C8</f>
        <v>2.67</v>
      </c>
      <c r="K77" s="7" t="s">
        <v>17</v>
      </c>
      <c r="L77" s="5">
        <f>E8</f>
        <v>3.9433874270833336E-2</v>
      </c>
      <c r="M77" s="5" t="str">
        <f t="shared" ref="M77:M79" si="49">K77</f>
        <v>Oz</v>
      </c>
      <c r="N77" s="5">
        <f t="shared" ref="N77:N79" si="50">J77*L77</f>
        <v>0.10528844430312501</v>
      </c>
      <c r="P77" s="7" t="s">
        <v>107</v>
      </c>
      <c r="Q77" s="7">
        <v>5.625</v>
      </c>
      <c r="R77" s="7" t="s">
        <v>17</v>
      </c>
      <c r="S77" s="5">
        <f t="shared" si="32"/>
        <v>0.113375</v>
      </c>
      <c r="T77" s="5" t="str">
        <f t="shared" si="45"/>
        <v>Oz</v>
      </c>
      <c r="U77" s="5">
        <f t="shared" si="46"/>
        <v>0.63773437499999996</v>
      </c>
    </row>
    <row r="78" spans="2:21" x14ac:dyDescent="0.35">
      <c r="B78" s="7" t="s">
        <v>90</v>
      </c>
      <c r="C78" s="7">
        <f>Q73</f>
        <v>12.875</v>
      </c>
      <c r="D78" s="7" t="s">
        <v>17</v>
      </c>
      <c r="E78" s="5">
        <f>S41</f>
        <v>0.12362903225806451</v>
      </c>
      <c r="F78" s="5" t="str">
        <f t="shared" si="47"/>
        <v>Oz</v>
      </c>
      <c r="G78" s="5">
        <f t="shared" si="48"/>
        <v>1.5917237903225807</v>
      </c>
      <c r="I78" s="7" t="s">
        <v>22</v>
      </c>
      <c r="J78" s="7">
        <f>C9</f>
        <v>3.875</v>
      </c>
      <c r="K78" s="7" t="s">
        <v>17</v>
      </c>
      <c r="L78" s="5">
        <f>E38</f>
        <v>0.18312500000000001</v>
      </c>
      <c r="M78" s="5" t="str">
        <f t="shared" si="49"/>
        <v>Oz</v>
      </c>
      <c r="N78" s="5">
        <f t="shared" si="50"/>
        <v>0.70960937499999999</v>
      </c>
      <c r="P78" s="7" t="s">
        <v>225</v>
      </c>
      <c r="Q78" s="7">
        <v>8.875</v>
      </c>
      <c r="R78" s="7" t="s">
        <v>17</v>
      </c>
      <c r="S78" s="5">
        <f t="shared" si="32"/>
        <v>8.9804687499999994E-2</v>
      </c>
      <c r="T78" s="5" t="str">
        <f t="shared" si="45"/>
        <v>Oz</v>
      </c>
      <c r="U78" s="5">
        <f t="shared" si="46"/>
        <v>0.79701660156249998</v>
      </c>
    </row>
    <row r="79" spans="2:21" x14ac:dyDescent="0.35">
      <c r="B79" s="7" t="s">
        <v>92</v>
      </c>
      <c r="C79" s="7">
        <f>Q75</f>
        <v>6.375</v>
      </c>
      <c r="D79" s="7" t="s">
        <v>17</v>
      </c>
      <c r="E79" s="5">
        <f>S43</f>
        <v>2.75E-2</v>
      </c>
      <c r="F79" s="5" t="str">
        <f t="shared" si="47"/>
        <v>Oz</v>
      </c>
      <c r="G79" s="5">
        <f t="shared" si="48"/>
        <v>0.17531250000000001</v>
      </c>
      <c r="I79" s="7" t="s">
        <v>179</v>
      </c>
      <c r="J79" s="7">
        <v>1</v>
      </c>
      <c r="K79" s="7" t="s">
        <v>73</v>
      </c>
      <c r="L79" s="5">
        <f>E10</f>
        <v>0.25980000000000003</v>
      </c>
      <c r="M79" s="5" t="str">
        <f t="shared" si="49"/>
        <v>Box</v>
      </c>
      <c r="N79" s="5">
        <f t="shared" si="50"/>
        <v>0.25980000000000003</v>
      </c>
      <c r="P79" s="7" t="s">
        <v>105</v>
      </c>
      <c r="Q79" s="7">
        <v>7.625</v>
      </c>
      <c r="R79" s="7" t="s">
        <v>17</v>
      </c>
      <c r="S79" s="5">
        <f t="shared" si="32"/>
        <v>0.11359848484848484</v>
      </c>
      <c r="T79" s="5" t="str">
        <f t="shared" ref="T79:T84" si="51">R79</f>
        <v>Oz</v>
      </c>
      <c r="U79" s="5">
        <f t="shared" ref="U79:U84" si="52">Q79*S79</f>
        <v>0.86618844696969688</v>
      </c>
    </row>
    <row r="80" spans="2:21" x14ac:dyDescent="0.35">
      <c r="B80" s="7" t="s">
        <v>181</v>
      </c>
      <c r="C80" s="7">
        <v>1</v>
      </c>
      <c r="D80" s="7" t="s">
        <v>73</v>
      </c>
      <c r="E80" s="5">
        <f>S10</f>
        <v>0.30980000000000002</v>
      </c>
      <c r="F80" s="5" t="str">
        <f t="shared" si="47"/>
        <v>Box</v>
      </c>
      <c r="G80" s="5">
        <f t="shared" si="48"/>
        <v>0.30980000000000002</v>
      </c>
      <c r="I80" s="7" t="s">
        <v>130</v>
      </c>
      <c r="J80" s="7">
        <v>1</v>
      </c>
      <c r="K80" s="7" t="s">
        <v>74</v>
      </c>
      <c r="L80" s="5">
        <f>E11</f>
        <v>1.8434374999999999E-2</v>
      </c>
      <c r="M80" s="5" t="str">
        <f>K80</f>
        <v>Paper</v>
      </c>
      <c r="N80" s="5">
        <f>J80*L80</f>
        <v>1.8434374999999999E-2</v>
      </c>
      <c r="P80" s="7" t="s">
        <v>100</v>
      </c>
      <c r="Q80" s="7">
        <v>9.25</v>
      </c>
      <c r="R80" s="7" t="s">
        <v>17</v>
      </c>
      <c r="S80" s="5">
        <f t="shared" si="32"/>
        <v>5.5732087227414337E-2</v>
      </c>
      <c r="T80" s="5" t="str">
        <f t="shared" si="51"/>
        <v>Oz</v>
      </c>
      <c r="U80" s="5">
        <f t="shared" si="52"/>
        <v>0.51552180685358262</v>
      </c>
    </row>
    <row r="81" spans="2:21" x14ac:dyDescent="0.35">
      <c r="B81" s="7" t="s">
        <v>130</v>
      </c>
      <c r="C81" s="7">
        <v>1</v>
      </c>
      <c r="D81" s="7" t="s">
        <v>74</v>
      </c>
      <c r="E81" s="5">
        <f>S11</f>
        <v>1.8434374999999999E-2</v>
      </c>
      <c r="F81" s="5" t="str">
        <f>D81</f>
        <v>Paper</v>
      </c>
      <c r="G81" s="5">
        <f>C81*E81</f>
        <v>1.8434374999999999E-2</v>
      </c>
      <c r="P81" s="7" t="s">
        <v>154</v>
      </c>
      <c r="Q81" s="7">
        <v>10.75</v>
      </c>
      <c r="R81" s="7" t="s">
        <v>17</v>
      </c>
      <c r="S81" s="5">
        <f t="shared" si="32"/>
        <v>0.1</v>
      </c>
      <c r="T81" s="5" t="str">
        <f t="shared" si="51"/>
        <v>Oz</v>
      </c>
      <c r="U81" s="5">
        <f t="shared" si="52"/>
        <v>1.075</v>
      </c>
    </row>
    <row r="82" spans="2:21" x14ac:dyDescent="0.35">
      <c r="B82" s="2"/>
      <c r="C82" s="2"/>
      <c r="D82" s="2"/>
      <c r="E82" s="49"/>
      <c r="F82" s="49"/>
      <c r="G82" s="49"/>
      <c r="P82" s="7" t="s">
        <v>145</v>
      </c>
      <c r="Q82" s="7">
        <v>14.125</v>
      </c>
      <c r="R82" s="7" t="s">
        <v>17</v>
      </c>
      <c r="S82" s="5">
        <f t="shared" si="32"/>
        <v>0.06</v>
      </c>
      <c r="T82" s="5" t="str">
        <f t="shared" si="51"/>
        <v>Oz</v>
      </c>
      <c r="U82" s="5">
        <f t="shared" si="52"/>
        <v>0.84749999999999992</v>
      </c>
    </row>
    <row r="83" spans="2:21" x14ac:dyDescent="0.35">
      <c r="B83" s="11"/>
      <c r="C83" s="11"/>
      <c r="D83" s="11"/>
      <c r="P83" s="7" t="s">
        <v>109</v>
      </c>
      <c r="Q83" s="7">
        <v>1.625</v>
      </c>
      <c r="R83" s="7" t="s">
        <v>17</v>
      </c>
      <c r="S83" s="5">
        <f t="shared" si="32"/>
        <v>0</v>
      </c>
      <c r="T83" s="5" t="str">
        <f t="shared" si="51"/>
        <v>Oz</v>
      </c>
      <c r="U83" s="5">
        <f t="shared" si="52"/>
        <v>0</v>
      </c>
    </row>
    <row r="84" spans="2:21" x14ac:dyDescent="0.35">
      <c r="B84" s="11"/>
      <c r="C84" s="11"/>
      <c r="D84" s="11"/>
      <c r="P84" s="7" t="s">
        <v>108</v>
      </c>
      <c r="Q84" s="7">
        <v>0.625</v>
      </c>
      <c r="R84" s="7" t="s">
        <v>17</v>
      </c>
      <c r="S84" s="5">
        <f t="shared" si="32"/>
        <v>4.3437499999999997E-2</v>
      </c>
      <c r="T84" s="5" t="str">
        <f t="shared" si="51"/>
        <v>Oz</v>
      </c>
      <c r="U84" s="5">
        <f t="shared" si="52"/>
        <v>2.7148437499999997E-2</v>
      </c>
    </row>
    <row r="86" spans="2:21" ht="15.5" x14ac:dyDescent="0.35">
      <c r="B86" s="119" t="s">
        <v>127</v>
      </c>
      <c r="C86" s="120"/>
      <c r="D86" s="121"/>
      <c r="E86" s="122" t="s">
        <v>7</v>
      </c>
      <c r="F86" s="123"/>
      <c r="G86" s="30">
        <f>SUM(G90:G96)</f>
        <v>2.2697436971167297</v>
      </c>
      <c r="I86" s="119" t="s">
        <v>129</v>
      </c>
      <c r="J86" s="120"/>
      <c r="K86" s="121"/>
      <c r="L86" s="122" t="s">
        <v>7</v>
      </c>
      <c r="M86" s="123"/>
      <c r="N86" s="30">
        <f>SUM(N90:N96)</f>
        <v>2.7539127501755303</v>
      </c>
      <c r="P86" s="119" t="s">
        <v>131</v>
      </c>
      <c r="Q86" s="120"/>
      <c r="R86" s="121"/>
      <c r="S86" s="122" t="s">
        <v>7</v>
      </c>
      <c r="T86" s="123"/>
      <c r="U86" s="30">
        <f>SUM(U90:U96)</f>
        <v>3.9089900115707352</v>
      </c>
    </row>
    <row r="87" spans="2:21" x14ac:dyDescent="0.35">
      <c r="B87" s="9"/>
      <c r="G87" s="8"/>
      <c r="I87" s="9"/>
      <c r="N87" s="8"/>
      <c r="P87" s="9"/>
      <c r="U87" s="8"/>
    </row>
    <row r="88" spans="2:21" x14ac:dyDescent="0.35">
      <c r="B88" s="10"/>
      <c r="C88" s="124" t="s">
        <v>13</v>
      </c>
      <c r="D88" s="125"/>
      <c r="E88" s="124" t="s">
        <v>14</v>
      </c>
      <c r="F88" s="125"/>
      <c r="G88" s="5" t="s">
        <v>6</v>
      </c>
      <c r="I88" s="10"/>
      <c r="J88" s="124" t="s">
        <v>13</v>
      </c>
      <c r="K88" s="125"/>
      <c r="L88" s="124" t="s">
        <v>14</v>
      </c>
      <c r="M88" s="125"/>
      <c r="N88" s="5" t="s">
        <v>6</v>
      </c>
      <c r="P88" s="10"/>
      <c r="Q88" s="124" t="s">
        <v>13</v>
      </c>
      <c r="R88" s="125"/>
      <c r="S88" s="124" t="s">
        <v>14</v>
      </c>
      <c r="T88" s="125"/>
      <c r="U88" s="5" t="s">
        <v>6</v>
      </c>
    </row>
    <row r="89" spans="2:21" x14ac:dyDescent="0.35">
      <c r="B89" s="5" t="s">
        <v>10</v>
      </c>
      <c r="C89" s="5" t="s">
        <v>2</v>
      </c>
      <c r="D89" s="5" t="s">
        <v>1</v>
      </c>
      <c r="E89" s="5" t="s">
        <v>11</v>
      </c>
      <c r="F89" s="5" t="s">
        <v>1</v>
      </c>
      <c r="G89" s="5" t="s">
        <v>15</v>
      </c>
      <c r="I89" s="5" t="s">
        <v>10</v>
      </c>
      <c r="J89" s="5" t="s">
        <v>2</v>
      </c>
      <c r="K89" s="5" t="s">
        <v>1</v>
      </c>
      <c r="L89" s="5" t="s">
        <v>11</v>
      </c>
      <c r="M89" s="5" t="s">
        <v>1</v>
      </c>
      <c r="N89" s="5" t="s">
        <v>15</v>
      </c>
      <c r="P89" s="5" t="s">
        <v>10</v>
      </c>
      <c r="Q89" s="5" t="s">
        <v>2</v>
      </c>
      <c r="R89" s="5" t="s">
        <v>1</v>
      </c>
      <c r="S89" s="5" t="s">
        <v>11</v>
      </c>
      <c r="T89" s="5" t="s">
        <v>1</v>
      </c>
      <c r="U89" s="5" t="s">
        <v>15</v>
      </c>
    </row>
    <row r="90" spans="2:21" x14ac:dyDescent="0.35">
      <c r="B90" s="7" t="s">
        <v>61</v>
      </c>
      <c r="C90" s="7">
        <f>C7</f>
        <v>14</v>
      </c>
      <c r="D90" s="7" t="s">
        <v>17</v>
      </c>
      <c r="E90" s="5">
        <f>E7</f>
        <v>3.3574516898448738E-2</v>
      </c>
      <c r="F90" s="5" t="str">
        <f>D90</f>
        <v>Oz</v>
      </c>
      <c r="G90" s="5">
        <f>C90*E90</f>
        <v>0.47004323657828234</v>
      </c>
      <c r="I90" s="7" t="s">
        <v>61</v>
      </c>
      <c r="J90" s="7">
        <f>J7</f>
        <v>14</v>
      </c>
      <c r="K90" s="7" t="s">
        <v>17</v>
      </c>
      <c r="L90" s="5">
        <f>L7</f>
        <v>3.3574516898448738E-2</v>
      </c>
      <c r="M90" s="5" t="str">
        <f>K90</f>
        <v>Oz</v>
      </c>
      <c r="N90" s="5">
        <f>J90*L90</f>
        <v>0.47004323657828234</v>
      </c>
      <c r="P90" s="7" t="s">
        <v>61</v>
      </c>
      <c r="Q90" s="7">
        <f>Q7</f>
        <v>22</v>
      </c>
      <c r="R90" s="7" t="s">
        <v>17</v>
      </c>
      <c r="S90" s="5">
        <f>S7</f>
        <v>3.3574516898448738E-2</v>
      </c>
      <c r="T90" s="5" t="str">
        <f>R90</f>
        <v>Oz</v>
      </c>
      <c r="U90" s="5">
        <f>Q90*S90</f>
        <v>0.73863937176587224</v>
      </c>
    </row>
    <row r="91" spans="2:21" x14ac:dyDescent="0.35">
      <c r="B91" s="7" t="s">
        <v>84</v>
      </c>
      <c r="C91" s="7">
        <f>C8</f>
        <v>2.67</v>
      </c>
      <c r="D91" s="7" t="s">
        <v>17</v>
      </c>
      <c r="E91" s="5">
        <f>E8</f>
        <v>3.9433874270833336E-2</v>
      </c>
      <c r="F91" s="5" t="str">
        <f t="shared" ref="F91:F93" si="53">D91</f>
        <v>Oz</v>
      </c>
      <c r="G91" s="5">
        <f t="shared" ref="G91:G93" si="54">C91*E91</f>
        <v>0.10528844430312501</v>
      </c>
      <c r="I91" s="7" t="s">
        <v>84</v>
      </c>
      <c r="J91" s="7">
        <f>J8</f>
        <v>4.67</v>
      </c>
      <c r="K91" s="7" t="s">
        <v>17</v>
      </c>
      <c r="L91" s="5">
        <f>L8</f>
        <v>3.9433874270833336E-2</v>
      </c>
      <c r="M91" s="5" t="str">
        <f t="shared" ref="M91:M93" si="55">K91</f>
        <v>Oz</v>
      </c>
      <c r="N91" s="5">
        <f t="shared" ref="N91:N93" si="56">J91*L91</f>
        <v>0.18415619284479168</v>
      </c>
      <c r="P91" s="7" t="s">
        <v>84</v>
      </c>
      <c r="Q91" s="7">
        <f>Q8</f>
        <v>6.67</v>
      </c>
      <c r="R91" s="7" t="s">
        <v>17</v>
      </c>
      <c r="S91" s="5">
        <f>S8</f>
        <v>3.9433874270833336E-2</v>
      </c>
      <c r="T91" s="5" t="str">
        <f t="shared" ref="T91:T93" si="57">R91</f>
        <v>Oz</v>
      </c>
      <c r="U91" s="5">
        <f t="shared" ref="U91:U93" si="58">Q91*S91</f>
        <v>0.26302394138645835</v>
      </c>
    </row>
    <row r="92" spans="2:21" x14ac:dyDescent="0.35">
      <c r="B92" s="7" t="s">
        <v>22</v>
      </c>
      <c r="C92" s="7">
        <f>C9</f>
        <v>3.875</v>
      </c>
      <c r="D92" s="7" t="s">
        <v>17</v>
      </c>
      <c r="E92" s="5">
        <f>E38</f>
        <v>0.18312500000000001</v>
      </c>
      <c r="F92" s="5" t="str">
        <f t="shared" si="53"/>
        <v>Oz</v>
      </c>
      <c r="G92" s="5">
        <f t="shared" si="54"/>
        <v>0.70960937499999999</v>
      </c>
      <c r="I92" s="7" t="s">
        <v>22</v>
      </c>
      <c r="J92" s="7">
        <f>J9</f>
        <v>5.625</v>
      </c>
      <c r="K92" s="7" t="s">
        <v>17</v>
      </c>
      <c r="L92" s="5">
        <f>L38</f>
        <v>0.18312500000000001</v>
      </c>
      <c r="M92" s="5" t="str">
        <f t="shared" si="55"/>
        <v>Oz</v>
      </c>
      <c r="N92" s="5">
        <f t="shared" si="56"/>
        <v>1.030078125</v>
      </c>
      <c r="P92" s="7" t="s">
        <v>22</v>
      </c>
      <c r="Q92" s="7">
        <f>Q9</f>
        <v>8.125</v>
      </c>
      <c r="R92" s="7" t="s">
        <v>17</v>
      </c>
      <c r="S92" s="5">
        <f>S38</f>
        <v>0.18312500000000001</v>
      </c>
      <c r="T92" s="5" t="str">
        <f t="shared" si="57"/>
        <v>Oz</v>
      </c>
      <c r="U92" s="5">
        <f t="shared" si="58"/>
        <v>1.4878906250000001</v>
      </c>
    </row>
    <row r="93" spans="2:21" x14ac:dyDescent="0.35">
      <c r="B93" s="7" t="s">
        <v>88</v>
      </c>
      <c r="C93" s="7">
        <f>C31</f>
        <v>2</v>
      </c>
      <c r="D93" s="7" t="s">
        <v>128</v>
      </c>
      <c r="E93" s="5">
        <f>E31</f>
        <v>0.23137019230769232</v>
      </c>
      <c r="F93" s="5" t="str">
        <f t="shared" si="53"/>
        <v>Slice</v>
      </c>
      <c r="G93" s="5">
        <f t="shared" si="54"/>
        <v>0.46274038461538464</v>
      </c>
      <c r="I93" s="7" t="s">
        <v>88</v>
      </c>
      <c r="J93" s="7">
        <f>J31</f>
        <v>2</v>
      </c>
      <c r="K93" s="7" t="s">
        <v>128</v>
      </c>
      <c r="L93" s="5">
        <f>L31</f>
        <v>0.23137019230769232</v>
      </c>
      <c r="M93" s="5" t="str">
        <f t="shared" si="55"/>
        <v>Slice</v>
      </c>
      <c r="N93" s="5">
        <f t="shared" si="56"/>
        <v>0.46274038461538464</v>
      </c>
      <c r="P93" s="7" t="s">
        <v>88</v>
      </c>
      <c r="Q93" s="7">
        <f>Q31</f>
        <v>3</v>
      </c>
      <c r="R93" s="7" t="s">
        <v>128</v>
      </c>
      <c r="S93" s="5">
        <f>S31</f>
        <v>0.23137019230769232</v>
      </c>
      <c r="T93" s="5" t="str">
        <f t="shared" si="57"/>
        <v>Slice</v>
      </c>
      <c r="U93" s="5">
        <f t="shared" si="58"/>
        <v>0.69411057692307698</v>
      </c>
    </row>
    <row r="94" spans="2:21" x14ac:dyDescent="0.35">
      <c r="B94" s="7" t="s">
        <v>100</v>
      </c>
      <c r="C94" s="7">
        <f>C48</f>
        <v>4.375</v>
      </c>
      <c r="D94" s="7" t="s">
        <v>17</v>
      </c>
      <c r="E94" s="5">
        <f>E48</f>
        <v>5.5732087227414337E-2</v>
      </c>
      <c r="F94" s="5" t="str">
        <f>D94</f>
        <v>Oz</v>
      </c>
      <c r="G94" s="5">
        <f>C94*E94</f>
        <v>0.24382788161993774</v>
      </c>
      <c r="I94" s="7" t="s">
        <v>100</v>
      </c>
      <c r="J94" s="7">
        <f>J48</f>
        <v>5</v>
      </c>
      <c r="K94" s="7" t="s">
        <v>17</v>
      </c>
      <c r="L94" s="5">
        <f>L48</f>
        <v>5.5732087227414337E-2</v>
      </c>
      <c r="M94" s="5" t="str">
        <f>K94</f>
        <v>Oz</v>
      </c>
      <c r="N94" s="5">
        <f>J94*L94</f>
        <v>0.2786604361370717</v>
      </c>
      <c r="P94" s="7" t="s">
        <v>100</v>
      </c>
      <c r="Q94" s="7">
        <f>Q48</f>
        <v>7.125</v>
      </c>
      <c r="R94" s="7" t="s">
        <v>17</v>
      </c>
      <c r="S94" s="5">
        <f>S48</f>
        <v>5.5732087227414337E-2</v>
      </c>
      <c r="T94" s="5" t="str">
        <f>R94</f>
        <v>Oz</v>
      </c>
      <c r="U94" s="5">
        <f>Q94*S94</f>
        <v>0.39709112149532716</v>
      </c>
    </row>
    <row r="95" spans="2:21" x14ac:dyDescent="0.35">
      <c r="B95" s="7" t="s">
        <v>179</v>
      </c>
      <c r="C95" s="7">
        <v>1</v>
      </c>
      <c r="D95" s="7" t="s">
        <v>73</v>
      </c>
      <c r="E95" s="5">
        <f>E10</f>
        <v>0.25980000000000003</v>
      </c>
      <c r="F95" s="5" t="str">
        <f t="shared" ref="F95" si="59">D95</f>
        <v>Box</v>
      </c>
      <c r="G95" s="5">
        <f t="shared" ref="G95" si="60">C95*E95</f>
        <v>0.25980000000000003</v>
      </c>
      <c r="I95" s="7" t="s">
        <v>180</v>
      </c>
      <c r="J95" s="7">
        <v>1</v>
      </c>
      <c r="K95" s="7" t="s">
        <v>73</v>
      </c>
      <c r="L95" s="5">
        <f>L10</f>
        <v>0.30980000000000002</v>
      </c>
      <c r="M95" s="5" t="str">
        <f t="shared" ref="M95" si="61">K95</f>
        <v>Box</v>
      </c>
      <c r="N95" s="5">
        <f t="shared" ref="N95" si="62">J95*L95</f>
        <v>0.30980000000000002</v>
      </c>
      <c r="P95" s="7" t="s">
        <v>181</v>
      </c>
      <c r="Q95" s="7">
        <v>1</v>
      </c>
      <c r="R95" s="7" t="s">
        <v>73</v>
      </c>
      <c r="S95" s="5">
        <f>S10</f>
        <v>0.30980000000000002</v>
      </c>
      <c r="T95" s="5" t="str">
        <f t="shared" ref="T95" si="63">R95</f>
        <v>Box</v>
      </c>
      <c r="U95" s="5">
        <f t="shared" ref="U95" si="64">Q95*S95</f>
        <v>0.30980000000000002</v>
      </c>
    </row>
    <row r="96" spans="2:21" x14ac:dyDescent="0.35">
      <c r="B96" s="7" t="s">
        <v>130</v>
      </c>
      <c r="C96" s="7">
        <v>1</v>
      </c>
      <c r="D96" s="7" t="s">
        <v>74</v>
      </c>
      <c r="E96" s="5">
        <f>E11</f>
        <v>1.8434374999999999E-2</v>
      </c>
      <c r="F96" s="5" t="str">
        <f>D96</f>
        <v>Paper</v>
      </c>
      <c r="G96" s="5">
        <f>C96*E96</f>
        <v>1.8434374999999999E-2</v>
      </c>
      <c r="I96" s="7" t="s">
        <v>130</v>
      </c>
      <c r="J96" s="7">
        <v>1</v>
      </c>
      <c r="K96" s="7" t="s">
        <v>74</v>
      </c>
      <c r="L96" s="5">
        <f>L11</f>
        <v>1.8434374999999999E-2</v>
      </c>
      <c r="M96" s="5" t="str">
        <f>K96</f>
        <v>Paper</v>
      </c>
      <c r="N96" s="5">
        <f>J96*L96</f>
        <v>1.8434374999999999E-2</v>
      </c>
      <c r="P96" s="7" t="s">
        <v>130</v>
      </c>
      <c r="Q96" s="7">
        <v>1</v>
      </c>
      <c r="R96" s="7" t="s">
        <v>74</v>
      </c>
      <c r="S96" s="5">
        <f>S11</f>
        <v>1.8434374999999999E-2</v>
      </c>
      <c r="T96" s="5" t="str">
        <f>R96</f>
        <v>Paper</v>
      </c>
      <c r="U96" s="5">
        <f>Q96*S96</f>
        <v>1.8434374999999999E-2</v>
      </c>
    </row>
    <row r="98" spans="2:21" ht="15.5" x14ac:dyDescent="0.35">
      <c r="B98" s="119" t="s">
        <v>132</v>
      </c>
      <c r="C98" s="120"/>
      <c r="D98" s="121"/>
      <c r="E98" s="122" t="s">
        <v>7</v>
      </c>
      <c r="F98" s="123"/>
      <c r="G98" s="30">
        <f>SUM(G102:G111)</f>
        <v>5.0631792083539349</v>
      </c>
      <c r="I98" s="119" t="s">
        <v>133</v>
      </c>
      <c r="J98" s="120"/>
      <c r="K98" s="121"/>
      <c r="L98" s="122" t="s">
        <v>7</v>
      </c>
      <c r="M98" s="123"/>
      <c r="N98" s="30">
        <f>SUM(N102:N111)</f>
        <v>6.7996206176098877</v>
      </c>
      <c r="P98" s="119" t="s">
        <v>134</v>
      </c>
      <c r="Q98" s="120"/>
      <c r="R98" s="121"/>
      <c r="S98" s="122" t="s">
        <v>7</v>
      </c>
      <c r="T98" s="123"/>
      <c r="U98" s="30">
        <f>SUM(U102:U111)</f>
        <v>9.0380562561468363</v>
      </c>
    </row>
    <row r="99" spans="2:21" x14ac:dyDescent="0.35">
      <c r="B99" s="9"/>
      <c r="G99" s="8"/>
      <c r="I99" s="9"/>
      <c r="N99" s="8"/>
      <c r="P99" s="9"/>
      <c r="U99" s="8"/>
    </row>
    <row r="100" spans="2:21" x14ac:dyDescent="0.35">
      <c r="B100" s="10"/>
      <c r="C100" s="124" t="s">
        <v>13</v>
      </c>
      <c r="D100" s="125"/>
      <c r="E100" s="124" t="s">
        <v>14</v>
      </c>
      <c r="F100" s="125"/>
      <c r="G100" s="5" t="s">
        <v>6</v>
      </c>
      <c r="I100" s="10"/>
      <c r="J100" s="124" t="s">
        <v>13</v>
      </c>
      <c r="K100" s="125"/>
      <c r="L100" s="124" t="s">
        <v>14</v>
      </c>
      <c r="M100" s="125"/>
      <c r="N100" s="5" t="s">
        <v>6</v>
      </c>
      <c r="P100" s="10"/>
      <c r="Q100" s="124" t="s">
        <v>13</v>
      </c>
      <c r="R100" s="125"/>
      <c r="S100" s="124" t="s">
        <v>14</v>
      </c>
      <c r="T100" s="125"/>
      <c r="U100" s="5" t="s">
        <v>6</v>
      </c>
    </row>
    <row r="101" spans="2:21" x14ac:dyDescent="0.35">
      <c r="B101" s="5" t="s">
        <v>10</v>
      </c>
      <c r="C101" s="5" t="s">
        <v>2</v>
      </c>
      <c r="D101" s="5" t="s">
        <v>1</v>
      </c>
      <c r="E101" s="5" t="s">
        <v>11</v>
      </c>
      <c r="F101" s="5" t="s">
        <v>1</v>
      </c>
      <c r="G101" s="5" t="s">
        <v>15</v>
      </c>
      <c r="I101" s="5" t="s">
        <v>10</v>
      </c>
      <c r="J101" s="5" t="s">
        <v>2</v>
      </c>
      <c r="K101" s="5" t="s">
        <v>1</v>
      </c>
      <c r="L101" s="5" t="s">
        <v>11</v>
      </c>
      <c r="M101" s="5" t="s">
        <v>1</v>
      </c>
      <c r="N101" s="5" t="s">
        <v>15</v>
      </c>
      <c r="P101" s="5" t="s">
        <v>10</v>
      </c>
      <c r="Q101" s="5" t="s">
        <v>2</v>
      </c>
      <c r="R101" s="5" t="s">
        <v>1</v>
      </c>
      <c r="S101" s="5" t="s">
        <v>11</v>
      </c>
      <c r="T101" s="5" t="s">
        <v>1</v>
      </c>
      <c r="U101" s="5" t="s">
        <v>15</v>
      </c>
    </row>
    <row r="102" spans="2:21" x14ac:dyDescent="0.35">
      <c r="B102" s="7" t="s">
        <v>61</v>
      </c>
      <c r="C102" s="7">
        <f>C7</f>
        <v>14</v>
      </c>
      <c r="D102" s="7" t="s">
        <v>17</v>
      </c>
      <c r="E102" s="5">
        <f>E7</f>
        <v>3.3574516898448738E-2</v>
      </c>
      <c r="F102" s="5" t="str">
        <f>D102</f>
        <v>Oz</v>
      </c>
      <c r="G102" s="5">
        <f>C102*E102</f>
        <v>0.47004323657828234</v>
      </c>
      <c r="I102" s="7" t="s">
        <v>61</v>
      </c>
      <c r="J102" s="7">
        <f>J7</f>
        <v>14</v>
      </c>
      <c r="K102" s="7" t="s">
        <v>17</v>
      </c>
      <c r="L102" s="5">
        <f>L7</f>
        <v>3.3574516898448738E-2</v>
      </c>
      <c r="M102" s="5" t="str">
        <f>K102</f>
        <v>Oz</v>
      </c>
      <c r="N102" s="5">
        <f>J102*L102</f>
        <v>0.47004323657828234</v>
      </c>
      <c r="P102" s="7" t="s">
        <v>61</v>
      </c>
      <c r="Q102" s="7">
        <f>Q7</f>
        <v>22</v>
      </c>
      <c r="R102" s="7" t="s">
        <v>17</v>
      </c>
      <c r="S102" s="5">
        <f>S7</f>
        <v>3.3574516898448738E-2</v>
      </c>
      <c r="T102" s="5" t="str">
        <f>R102</f>
        <v>Oz</v>
      </c>
      <c r="U102" s="5">
        <f>Q102*S102</f>
        <v>0.73863937176587224</v>
      </c>
    </row>
    <row r="103" spans="2:21" x14ac:dyDescent="0.35">
      <c r="B103" s="7" t="s">
        <v>84</v>
      </c>
      <c r="C103" s="7">
        <f>C8</f>
        <v>2.67</v>
      </c>
      <c r="D103" s="7" t="s">
        <v>17</v>
      </c>
      <c r="E103" s="5">
        <f>E8</f>
        <v>3.9433874270833336E-2</v>
      </c>
      <c r="F103" s="5" t="str">
        <f t="shared" ref="F103:F108" si="65">D103</f>
        <v>Oz</v>
      </c>
      <c r="G103" s="5">
        <f t="shared" ref="G103:G108" si="66">C103*E103</f>
        <v>0.10528844430312501</v>
      </c>
      <c r="I103" s="7" t="s">
        <v>84</v>
      </c>
      <c r="J103" s="7">
        <f>J8</f>
        <v>4.67</v>
      </c>
      <c r="K103" s="7" t="s">
        <v>17</v>
      </c>
      <c r="L103" s="5">
        <f>L8</f>
        <v>3.9433874270833336E-2</v>
      </c>
      <c r="M103" s="5" t="str">
        <f t="shared" ref="M103:M108" si="67">K103</f>
        <v>Oz</v>
      </c>
      <c r="N103" s="5">
        <f t="shared" ref="N103:N108" si="68">J103*L103</f>
        <v>0.18415619284479168</v>
      </c>
      <c r="P103" s="7" t="s">
        <v>84</v>
      </c>
      <c r="Q103" s="7">
        <f>Q8</f>
        <v>6.67</v>
      </c>
      <c r="R103" s="7" t="s">
        <v>17</v>
      </c>
      <c r="S103" s="5">
        <f>S8</f>
        <v>3.9433874270833336E-2</v>
      </c>
      <c r="T103" s="5" t="str">
        <f t="shared" ref="T103:T108" si="69">R103</f>
        <v>Oz</v>
      </c>
      <c r="U103" s="5">
        <f t="shared" ref="U103:U108" si="70">Q103*S103</f>
        <v>0.26302394138645835</v>
      </c>
    </row>
    <row r="104" spans="2:21" x14ac:dyDescent="0.35">
      <c r="B104" s="7" t="s">
        <v>22</v>
      </c>
      <c r="C104" s="7">
        <f>C9</f>
        <v>3.875</v>
      </c>
      <c r="D104" s="7" t="s">
        <v>17</v>
      </c>
      <c r="E104" s="5">
        <f>E38</f>
        <v>0.18312500000000001</v>
      </c>
      <c r="F104" s="5" t="str">
        <f t="shared" si="65"/>
        <v>Oz</v>
      </c>
      <c r="G104" s="5">
        <f t="shared" si="66"/>
        <v>0.70960937499999999</v>
      </c>
      <c r="I104" s="7" t="s">
        <v>22</v>
      </c>
      <c r="J104" s="7">
        <f>J9</f>
        <v>5.625</v>
      </c>
      <c r="K104" s="7" t="s">
        <v>17</v>
      </c>
      <c r="L104" s="5">
        <f>L38</f>
        <v>0.18312500000000001</v>
      </c>
      <c r="M104" s="5" t="str">
        <f t="shared" si="67"/>
        <v>Oz</v>
      </c>
      <c r="N104" s="5">
        <f t="shared" si="68"/>
        <v>1.030078125</v>
      </c>
      <c r="P104" s="7" t="s">
        <v>22</v>
      </c>
      <c r="Q104" s="7">
        <f>Q9</f>
        <v>8.125</v>
      </c>
      <c r="R104" s="7" t="s">
        <v>17</v>
      </c>
      <c r="S104" s="5">
        <f>S38</f>
        <v>0.18312500000000001</v>
      </c>
      <c r="T104" s="5" t="str">
        <f t="shared" si="69"/>
        <v>Oz</v>
      </c>
      <c r="U104" s="5">
        <f t="shared" si="70"/>
        <v>1.4878906250000001</v>
      </c>
    </row>
    <row r="105" spans="2:21" x14ac:dyDescent="0.35">
      <c r="B105" s="7" t="s">
        <v>86</v>
      </c>
      <c r="C105" s="7">
        <f>C28</f>
        <v>2.25</v>
      </c>
      <c r="D105" s="7" t="s">
        <v>17</v>
      </c>
      <c r="E105" s="5">
        <f>E28</f>
        <v>0.29696428571428574</v>
      </c>
      <c r="F105" s="5" t="str">
        <f t="shared" si="65"/>
        <v>Oz</v>
      </c>
      <c r="G105" s="5">
        <f t="shared" si="66"/>
        <v>0.66816964285714286</v>
      </c>
      <c r="I105" s="7" t="s">
        <v>86</v>
      </c>
      <c r="J105" s="7">
        <f>J28</f>
        <v>3.25</v>
      </c>
      <c r="K105" s="7" t="s">
        <v>17</v>
      </c>
      <c r="L105" s="5">
        <f>L28</f>
        <v>0.29696428571428574</v>
      </c>
      <c r="M105" s="5" t="str">
        <f t="shared" si="67"/>
        <v>Oz</v>
      </c>
      <c r="N105" s="5">
        <f t="shared" si="68"/>
        <v>0.96513392857142866</v>
      </c>
      <c r="P105" s="7" t="s">
        <v>86</v>
      </c>
      <c r="Q105" s="7">
        <f>Q28</f>
        <v>4.125</v>
      </c>
      <c r="R105" s="7" t="s">
        <v>17</v>
      </c>
      <c r="S105" s="5">
        <f>S28</f>
        <v>0.29696428571428574</v>
      </c>
      <c r="T105" s="5" t="str">
        <f t="shared" si="69"/>
        <v>Oz</v>
      </c>
      <c r="U105" s="5">
        <f t="shared" si="70"/>
        <v>1.2249776785714286</v>
      </c>
    </row>
    <row r="106" spans="2:21" x14ac:dyDescent="0.35">
      <c r="B106" s="7" t="s">
        <v>88</v>
      </c>
      <c r="C106" s="7">
        <f>C31</f>
        <v>2</v>
      </c>
      <c r="D106" s="7" t="s">
        <v>128</v>
      </c>
      <c r="E106" s="5">
        <f>E31</f>
        <v>0.23137019230769232</v>
      </c>
      <c r="F106" s="5" t="str">
        <f t="shared" si="65"/>
        <v>Slice</v>
      </c>
      <c r="G106" s="5">
        <f t="shared" si="66"/>
        <v>0.46274038461538464</v>
      </c>
      <c r="I106" s="7" t="s">
        <v>88</v>
      </c>
      <c r="J106" s="7">
        <f>J31</f>
        <v>2</v>
      </c>
      <c r="K106" s="7" t="s">
        <v>128</v>
      </c>
      <c r="L106" s="5">
        <f>L31</f>
        <v>0.23137019230769232</v>
      </c>
      <c r="M106" s="5" t="str">
        <f t="shared" si="67"/>
        <v>Slice</v>
      </c>
      <c r="N106" s="5">
        <f t="shared" si="68"/>
        <v>0.46274038461538464</v>
      </c>
      <c r="P106" s="7" t="s">
        <v>88</v>
      </c>
      <c r="Q106" s="7">
        <f>Q31</f>
        <v>3</v>
      </c>
      <c r="R106" s="7" t="s">
        <v>128</v>
      </c>
      <c r="S106" s="5">
        <f>S31</f>
        <v>0.23137019230769232</v>
      </c>
      <c r="T106" s="5" t="str">
        <f t="shared" si="69"/>
        <v>Slice</v>
      </c>
      <c r="U106" s="5">
        <f t="shared" si="70"/>
        <v>0.69411057692307698</v>
      </c>
    </row>
    <row r="107" spans="2:21" x14ac:dyDescent="0.35">
      <c r="B107" s="7" t="s">
        <v>87</v>
      </c>
      <c r="C107" s="7">
        <f>C29</f>
        <v>2.75</v>
      </c>
      <c r="D107" s="7" t="s">
        <v>17</v>
      </c>
      <c r="E107" s="5">
        <f>E29</f>
        <v>0.27918750000000003</v>
      </c>
      <c r="F107" s="5" t="str">
        <f t="shared" si="65"/>
        <v>Oz</v>
      </c>
      <c r="G107" s="5">
        <f t="shared" si="66"/>
        <v>0.76776562500000012</v>
      </c>
      <c r="I107" s="7" t="s">
        <v>87</v>
      </c>
      <c r="J107" s="7">
        <f>J29</f>
        <v>3.25</v>
      </c>
      <c r="K107" s="7" t="s">
        <v>17</v>
      </c>
      <c r="L107" s="5">
        <f>L29</f>
        <v>0.27918750000000003</v>
      </c>
      <c r="M107" s="5" t="str">
        <f t="shared" si="67"/>
        <v>Oz</v>
      </c>
      <c r="N107" s="5">
        <f t="shared" si="68"/>
        <v>0.90735937500000008</v>
      </c>
      <c r="P107" s="7" t="s">
        <v>87</v>
      </c>
      <c r="Q107" s="7">
        <f>Q29</f>
        <v>4.125</v>
      </c>
      <c r="R107" s="7" t="s">
        <v>17</v>
      </c>
      <c r="S107" s="5">
        <f>S29</f>
        <v>0.27918750000000003</v>
      </c>
      <c r="T107" s="5" t="str">
        <f t="shared" si="69"/>
        <v>Oz</v>
      </c>
      <c r="U107" s="5">
        <f t="shared" si="70"/>
        <v>1.1516484375000002</v>
      </c>
    </row>
    <row r="108" spans="2:21" x14ac:dyDescent="0.35">
      <c r="B108" s="7" t="s">
        <v>28</v>
      </c>
      <c r="C108" s="7">
        <f>C30</f>
        <v>2</v>
      </c>
      <c r="D108" s="7" t="s">
        <v>17</v>
      </c>
      <c r="E108" s="5">
        <f>E30</f>
        <v>0.46875</v>
      </c>
      <c r="F108" s="5" t="str">
        <f t="shared" si="65"/>
        <v>Oz</v>
      </c>
      <c r="G108" s="5">
        <f t="shared" si="66"/>
        <v>0.9375</v>
      </c>
      <c r="I108" s="7" t="s">
        <v>28</v>
      </c>
      <c r="J108" s="7">
        <f>J30</f>
        <v>3.375</v>
      </c>
      <c r="K108" s="7" t="s">
        <v>17</v>
      </c>
      <c r="L108" s="5">
        <f>L30</f>
        <v>0.46875</v>
      </c>
      <c r="M108" s="5" t="str">
        <f t="shared" si="67"/>
        <v>Oz</v>
      </c>
      <c r="N108" s="5">
        <f t="shared" si="68"/>
        <v>1.58203125</v>
      </c>
      <c r="P108" s="7" t="s">
        <v>28</v>
      </c>
      <c r="Q108" s="7">
        <f>Q30</f>
        <v>4.375</v>
      </c>
      <c r="R108" s="7" t="s">
        <v>17</v>
      </c>
      <c r="S108" s="5">
        <f>S30</f>
        <v>0.46875</v>
      </c>
      <c r="T108" s="5" t="str">
        <f t="shared" si="69"/>
        <v>Oz</v>
      </c>
      <c r="U108" s="5">
        <f t="shared" si="70"/>
        <v>2.05078125</v>
      </c>
    </row>
    <row r="109" spans="2:21" x14ac:dyDescent="0.35">
      <c r="B109" s="7" t="s">
        <v>106</v>
      </c>
      <c r="C109" s="7">
        <f>C38</f>
        <v>3.625</v>
      </c>
      <c r="D109" s="7" t="str">
        <f t="shared" ref="D109:E109" si="71">D38</f>
        <v>Oz</v>
      </c>
      <c r="E109" s="5">
        <f t="shared" si="71"/>
        <v>0.18312500000000001</v>
      </c>
      <c r="F109" s="5" t="str">
        <f>D109</f>
        <v>Oz</v>
      </c>
      <c r="G109" s="5">
        <f>C109*E109</f>
        <v>0.66382812499999999</v>
      </c>
      <c r="I109" s="7" t="s">
        <v>106</v>
      </c>
      <c r="J109" s="7">
        <f>J38</f>
        <v>4.75</v>
      </c>
      <c r="K109" s="7" t="str">
        <f t="shared" ref="K109:L109" si="72">K38</f>
        <v>Oz</v>
      </c>
      <c r="L109" s="5">
        <f t="shared" si="72"/>
        <v>0.18312500000000001</v>
      </c>
      <c r="M109" s="5" t="str">
        <f>K109</f>
        <v>Oz</v>
      </c>
      <c r="N109" s="5">
        <f>J109*L109</f>
        <v>0.86984375000000003</v>
      </c>
      <c r="P109" s="7" t="s">
        <v>106</v>
      </c>
      <c r="Q109" s="7">
        <f>Q38</f>
        <v>6</v>
      </c>
      <c r="R109" s="7" t="str">
        <f t="shared" ref="R109:S109" si="73">R38</f>
        <v>Oz</v>
      </c>
      <c r="S109" s="5">
        <f t="shared" si="73"/>
        <v>0.18312500000000001</v>
      </c>
      <c r="T109" s="5" t="str">
        <f>R109</f>
        <v>Oz</v>
      </c>
      <c r="U109" s="5">
        <f>Q109*S109</f>
        <v>1.0987500000000001</v>
      </c>
    </row>
    <row r="110" spans="2:21" x14ac:dyDescent="0.35">
      <c r="B110" s="7" t="s">
        <v>179</v>
      </c>
      <c r="C110" s="7">
        <v>1</v>
      </c>
      <c r="D110" s="7" t="s">
        <v>73</v>
      </c>
      <c r="E110" s="5">
        <f>E10</f>
        <v>0.25980000000000003</v>
      </c>
      <c r="F110" s="5" t="str">
        <f t="shared" ref="F110" si="74">D110</f>
        <v>Box</v>
      </c>
      <c r="G110" s="5">
        <f t="shared" ref="G110" si="75">C110*E110</f>
        <v>0.25980000000000003</v>
      </c>
      <c r="I110" s="7" t="s">
        <v>180</v>
      </c>
      <c r="J110" s="7">
        <v>1</v>
      </c>
      <c r="K110" s="7" t="s">
        <v>73</v>
      </c>
      <c r="L110" s="5">
        <f>L10</f>
        <v>0.30980000000000002</v>
      </c>
      <c r="M110" s="5" t="str">
        <f t="shared" ref="M110" si="76">K110</f>
        <v>Box</v>
      </c>
      <c r="N110" s="5">
        <f t="shared" ref="N110" si="77">J110*L110</f>
        <v>0.30980000000000002</v>
      </c>
      <c r="P110" s="7" t="s">
        <v>181</v>
      </c>
      <c r="Q110" s="7">
        <v>1</v>
      </c>
      <c r="R110" s="7" t="s">
        <v>73</v>
      </c>
      <c r="S110" s="5">
        <f>S10</f>
        <v>0.30980000000000002</v>
      </c>
      <c r="T110" s="5" t="str">
        <f t="shared" ref="T110" si="78">R110</f>
        <v>Box</v>
      </c>
      <c r="U110" s="5">
        <f t="shared" ref="U110" si="79">Q110*S110</f>
        <v>0.30980000000000002</v>
      </c>
    </row>
    <row r="111" spans="2:21" x14ac:dyDescent="0.35">
      <c r="B111" s="7" t="s">
        <v>130</v>
      </c>
      <c r="C111" s="7">
        <v>1</v>
      </c>
      <c r="D111" s="7" t="s">
        <v>74</v>
      </c>
      <c r="E111" s="5">
        <f>E11</f>
        <v>1.8434374999999999E-2</v>
      </c>
      <c r="F111" s="5" t="str">
        <f>D111</f>
        <v>Paper</v>
      </c>
      <c r="G111" s="5">
        <f>C111*E111</f>
        <v>1.8434374999999999E-2</v>
      </c>
      <c r="I111" s="7" t="s">
        <v>130</v>
      </c>
      <c r="J111" s="7">
        <v>1</v>
      </c>
      <c r="K111" s="7" t="s">
        <v>74</v>
      </c>
      <c r="L111" s="5">
        <f>L11</f>
        <v>1.8434374999999999E-2</v>
      </c>
      <c r="M111" s="5" t="str">
        <f>K111</f>
        <v>Paper</v>
      </c>
      <c r="N111" s="5">
        <f>J111*L111</f>
        <v>1.8434374999999999E-2</v>
      </c>
      <c r="P111" s="7" t="s">
        <v>130</v>
      </c>
      <c r="Q111" s="7">
        <v>1</v>
      </c>
      <c r="R111" s="7" t="s">
        <v>74</v>
      </c>
      <c r="S111" s="5">
        <f>S11</f>
        <v>1.8434374999999999E-2</v>
      </c>
      <c r="T111" s="5" t="str">
        <f>R111</f>
        <v>Paper</v>
      </c>
      <c r="U111" s="5">
        <f>Q111*S111</f>
        <v>1.8434374999999999E-2</v>
      </c>
    </row>
    <row r="113" spans="2:21" ht="15.5" x14ac:dyDescent="0.35">
      <c r="B113" s="119" t="s">
        <v>135</v>
      </c>
      <c r="C113" s="120"/>
      <c r="D113" s="121"/>
      <c r="E113" s="122" t="s">
        <v>7</v>
      </c>
      <c r="F113" s="123"/>
      <c r="G113" s="30">
        <f>SUM(G117:G125)</f>
        <v>4.2568768277708084</v>
      </c>
      <c r="I113" s="119" t="s">
        <v>136</v>
      </c>
      <c r="J113" s="120"/>
      <c r="K113" s="121"/>
      <c r="L113" s="122" t="s">
        <v>7</v>
      </c>
      <c r="M113" s="123"/>
      <c r="N113" s="30">
        <f>SUM(N117:N125)</f>
        <v>5.5845279144461157</v>
      </c>
      <c r="P113" s="119" t="s">
        <v>137</v>
      </c>
      <c r="Q113" s="120"/>
      <c r="R113" s="121"/>
      <c r="S113" s="122" t="s">
        <v>7</v>
      </c>
      <c r="T113" s="123"/>
      <c r="U113" s="30">
        <f>SUM(U117:U125)</f>
        <v>7.9344361026108565</v>
      </c>
    </row>
    <row r="114" spans="2:21" x14ac:dyDescent="0.35">
      <c r="B114" s="9"/>
      <c r="G114" s="8"/>
      <c r="I114" s="9"/>
      <c r="N114" s="8"/>
      <c r="P114" s="9"/>
      <c r="U114" s="8"/>
    </row>
    <row r="115" spans="2:21" x14ac:dyDescent="0.35">
      <c r="B115" s="10"/>
      <c r="C115" s="124" t="s">
        <v>13</v>
      </c>
      <c r="D115" s="125"/>
      <c r="E115" s="124" t="s">
        <v>14</v>
      </c>
      <c r="F115" s="125"/>
      <c r="G115" s="5" t="s">
        <v>6</v>
      </c>
      <c r="I115" s="10"/>
      <c r="J115" s="124" t="s">
        <v>13</v>
      </c>
      <c r="K115" s="125"/>
      <c r="L115" s="124" t="s">
        <v>14</v>
      </c>
      <c r="M115" s="125"/>
      <c r="N115" s="5" t="s">
        <v>6</v>
      </c>
      <c r="P115" s="10"/>
      <c r="Q115" s="124" t="s">
        <v>13</v>
      </c>
      <c r="R115" s="125"/>
      <c r="S115" s="124" t="s">
        <v>14</v>
      </c>
      <c r="T115" s="125"/>
      <c r="U115" s="5" t="s">
        <v>6</v>
      </c>
    </row>
    <row r="116" spans="2:21" x14ac:dyDescent="0.35">
      <c r="B116" s="5" t="s">
        <v>10</v>
      </c>
      <c r="C116" s="5" t="s">
        <v>2</v>
      </c>
      <c r="D116" s="5" t="s">
        <v>1</v>
      </c>
      <c r="E116" s="5" t="s">
        <v>11</v>
      </c>
      <c r="F116" s="5" t="s">
        <v>1</v>
      </c>
      <c r="G116" s="5" t="s">
        <v>15</v>
      </c>
      <c r="I116" s="5" t="s">
        <v>10</v>
      </c>
      <c r="J116" s="5" t="s">
        <v>2</v>
      </c>
      <c r="K116" s="5" t="s">
        <v>1</v>
      </c>
      <c r="L116" s="5" t="s">
        <v>11</v>
      </c>
      <c r="M116" s="5" t="s">
        <v>1</v>
      </c>
      <c r="N116" s="5" t="s">
        <v>15</v>
      </c>
      <c r="P116" s="5" t="s">
        <v>10</v>
      </c>
      <c r="Q116" s="5" t="s">
        <v>2</v>
      </c>
      <c r="R116" s="5" t="s">
        <v>1</v>
      </c>
      <c r="S116" s="5" t="s">
        <v>11</v>
      </c>
      <c r="T116" s="5" t="s">
        <v>1</v>
      </c>
      <c r="U116" s="5" t="s">
        <v>15</v>
      </c>
    </row>
    <row r="117" spans="2:21" x14ac:dyDescent="0.35">
      <c r="B117" s="7" t="s">
        <v>61</v>
      </c>
      <c r="C117" s="7">
        <f>C7</f>
        <v>14</v>
      </c>
      <c r="D117" s="7" t="s">
        <v>17</v>
      </c>
      <c r="E117" s="5">
        <f>E7</f>
        <v>3.3574516898448738E-2</v>
      </c>
      <c r="F117" s="5" t="str">
        <f>D117</f>
        <v>Oz</v>
      </c>
      <c r="G117" s="5">
        <f>C117*E117</f>
        <v>0.47004323657828234</v>
      </c>
      <c r="I117" s="7" t="s">
        <v>61</v>
      </c>
      <c r="J117" s="7">
        <f>J7</f>
        <v>14</v>
      </c>
      <c r="K117" s="7" t="s">
        <v>17</v>
      </c>
      <c r="L117" s="5">
        <f>L7</f>
        <v>3.3574516898448738E-2</v>
      </c>
      <c r="M117" s="5" t="str">
        <f>K117</f>
        <v>Oz</v>
      </c>
      <c r="N117" s="5">
        <f>J117*L117</f>
        <v>0.47004323657828234</v>
      </c>
      <c r="P117" s="7" t="s">
        <v>61</v>
      </c>
      <c r="Q117" s="7">
        <f>Q7</f>
        <v>22</v>
      </c>
      <c r="R117" s="7" t="s">
        <v>17</v>
      </c>
      <c r="S117" s="5">
        <f>S7</f>
        <v>3.3574516898448738E-2</v>
      </c>
      <c r="T117" s="5" t="str">
        <f>R117</f>
        <v>Oz</v>
      </c>
      <c r="U117" s="5">
        <f>Q117*S117</f>
        <v>0.73863937176587224</v>
      </c>
    </row>
    <row r="118" spans="2:21" x14ac:dyDescent="0.35">
      <c r="B118" s="7" t="s">
        <v>84</v>
      </c>
      <c r="C118" s="7">
        <f>C8</f>
        <v>2.67</v>
      </c>
      <c r="D118" s="7" t="s">
        <v>17</v>
      </c>
      <c r="E118" s="5">
        <f>E8</f>
        <v>3.9433874270833336E-2</v>
      </c>
      <c r="F118" s="5" t="str">
        <f t="shared" ref="F118:F124" si="80">D118</f>
        <v>Oz</v>
      </c>
      <c r="G118" s="5">
        <f t="shared" ref="G118:G125" si="81">C118*E118</f>
        <v>0.10528844430312501</v>
      </c>
      <c r="I118" s="7" t="s">
        <v>84</v>
      </c>
      <c r="J118" s="7">
        <f>J8</f>
        <v>4.67</v>
      </c>
      <c r="K118" s="7" t="s">
        <v>17</v>
      </c>
      <c r="L118" s="5">
        <f>L8</f>
        <v>3.9433874270833336E-2</v>
      </c>
      <c r="M118" s="5" t="str">
        <f t="shared" ref="M118:M124" si="82">K118</f>
        <v>Oz</v>
      </c>
      <c r="N118" s="5">
        <f t="shared" ref="N118:N124" si="83">J118*L118</f>
        <v>0.18415619284479168</v>
      </c>
      <c r="P118" s="7" t="s">
        <v>84</v>
      </c>
      <c r="Q118" s="7">
        <f>Q8</f>
        <v>6.67</v>
      </c>
      <c r="R118" s="7" t="s">
        <v>17</v>
      </c>
      <c r="S118" s="5">
        <f>S8</f>
        <v>3.9433874270833336E-2</v>
      </c>
      <c r="T118" s="5" t="str">
        <f t="shared" ref="T118:T124" si="84">R118</f>
        <v>Oz</v>
      </c>
      <c r="U118" s="5">
        <f t="shared" ref="U118:U124" si="85">Q118*S118</f>
        <v>0.26302394138645835</v>
      </c>
    </row>
    <row r="119" spans="2:21" x14ac:dyDescent="0.35">
      <c r="B119" s="7" t="s">
        <v>22</v>
      </c>
      <c r="C119" s="7">
        <f>C9</f>
        <v>3.875</v>
      </c>
      <c r="D119" s="7" t="s">
        <v>17</v>
      </c>
      <c r="E119" s="5">
        <f>E38</f>
        <v>0.18312500000000001</v>
      </c>
      <c r="F119" s="5" t="str">
        <f t="shared" si="80"/>
        <v>Oz</v>
      </c>
      <c r="G119" s="5">
        <f t="shared" si="81"/>
        <v>0.70960937499999999</v>
      </c>
      <c r="I119" s="7" t="s">
        <v>22</v>
      </c>
      <c r="J119" s="7">
        <f>J9</f>
        <v>5.625</v>
      </c>
      <c r="K119" s="7" t="s">
        <v>17</v>
      </c>
      <c r="L119" s="5">
        <f>L38</f>
        <v>0.18312500000000001</v>
      </c>
      <c r="M119" s="5" t="str">
        <f t="shared" si="82"/>
        <v>Oz</v>
      </c>
      <c r="N119" s="5">
        <f t="shared" si="83"/>
        <v>1.030078125</v>
      </c>
      <c r="P119" s="7" t="s">
        <v>22</v>
      </c>
      <c r="Q119" s="7">
        <f>Q9</f>
        <v>8.125</v>
      </c>
      <c r="R119" s="7" t="s">
        <v>17</v>
      </c>
      <c r="S119" s="5">
        <f>S38</f>
        <v>0.18312500000000001</v>
      </c>
      <c r="T119" s="5" t="str">
        <f t="shared" si="84"/>
        <v>Oz</v>
      </c>
      <c r="U119" s="5">
        <f t="shared" si="85"/>
        <v>1.4878906250000001</v>
      </c>
    </row>
    <row r="120" spans="2:21" x14ac:dyDescent="0.35">
      <c r="B120" s="7" t="s">
        <v>86</v>
      </c>
      <c r="C120" s="7">
        <f>C28</f>
        <v>2.25</v>
      </c>
      <c r="D120" s="7" t="s">
        <v>17</v>
      </c>
      <c r="E120" s="5">
        <f>E28</f>
        <v>0.29696428571428574</v>
      </c>
      <c r="F120" s="5" t="str">
        <f t="shared" si="80"/>
        <v>Oz</v>
      </c>
      <c r="G120" s="5">
        <f t="shared" si="81"/>
        <v>0.66816964285714286</v>
      </c>
      <c r="I120" s="7" t="s">
        <v>86</v>
      </c>
      <c r="J120" s="7">
        <f>J28</f>
        <v>3.25</v>
      </c>
      <c r="K120" s="7" t="s">
        <v>17</v>
      </c>
      <c r="L120" s="5">
        <f>L28</f>
        <v>0.29696428571428574</v>
      </c>
      <c r="M120" s="5" t="str">
        <f t="shared" si="82"/>
        <v>Oz</v>
      </c>
      <c r="N120" s="5">
        <f t="shared" si="83"/>
        <v>0.96513392857142866</v>
      </c>
      <c r="P120" s="7" t="s">
        <v>86</v>
      </c>
      <c r="Q120" s="7">
        <f>Q28</f>
        <v>4.125</v>
      </c>
      <c r="R120" s="7" t="s">
        <v>17</v>
      </c>
      <c r="S120" s="5">
        <f>S28</f>
        <v>0.29696428571428574</v>
      </c>
      <c r="T120" s="5" t="str">
        <f t="shared" si="84"/>
        <v>Oz</v>
      </c>
      <c r="U120" s="5">
        <f t="shared" si="85"/>
        <v>1.2249776785714286</v>
      </c>
    </row>
    <row r="121" spans="2:21" x14ac:dyDescent="0.35">
      <c r="B121" s="7" t="s">
        <v>87</v>
      </c>
      <c r="C121" s="7">
        <f>C29</f>
        <v>2.75</v>
      </c>
      <c r="D121" s="7" t="s">
        <v>17</v>
      </c>
      <c r="E121" s="5">
        <f>E29</f>
        <v>0.27918750000000003</v>
      </c>
      <c r="F121" s="5" t="str">
        <f t="shared" si="80"/>
        <v>Oz</v>
      </c>
      <c r="G121" s="5">
        <f t="shared" si="81"/>
        <v>0.76776562500000012</v>
      </c>
      <c r="I121" s="7" t="s">
        <v>87</v>
      </c>
      <c r="J121" s="7">
        <f>J29</f>
        <v>3.25</v>
      </c>
      <c r="K121" s="7" t="s">
        <v>17</v>
      </c>
      <c r="L121" s="5">
        <f>L29</f>
        <v>0.27918750000000003</v>
      </c>
      <c r="M121" s="5" t="str">
        <f t="shared" si="82"/>
        <v>Oz</v>
      </c>
      <c r="N121" s="5">
        <f t="shared" si="83"/>
        <v>0.90735937500000008</v>
      </c>
      <c r="P121" s="7" t="s">
        <v>87</v>
      </c>
      <c r="Q121" s="7">
        <f>Q29</f>
        <v>4.125</v>
      </c>
      <c r="R121" s="7" t="s">
        <v>17</v>
      </c>
      <c r="S121" s="5">
        <f>S29</f>
        <v>0.27918750000000003</v>
      </c>
      <c r="T121" s="5" t="str">
        <f t="shared" si="84"/>
        <v>Oz</v>
      </c>
      <c r="U121" s="5">
        <f t="shared" si="85"/>
        <v>1.1516484375000002</v>
      </c>
    </row>
    <row r="122" spans="2:21" x14ac:dyDescent="0.35">
      <c r="B122" s="7" t="s">
        <v>91</v>
      </c>
      <c r="C122" s="7">
        <f>C42</f>
        <v>2.625</v>
      </c>
      <c r="D122" s="7" t="s">
        <v>17</v>
      </c>
      <c r="E122" s="5">
        <f>E42</f>
        <v>0.11374999999999999</v>
      </c>
      <c r="F122" s="5" t="str">
        <f t="shared" si="80"/>
        <v>Oz</v>
      </c>
      <c r="G122" s="5">
        <f t="shared" si="81"/>
        <v>0.29859374999999999</v>
      </c>
      <c r="I122" s="7" t="s">
        <v>91</v>
      </c>
      <c r="J122" s="7">
        <f>J42</f>
        <v>3.25</v>
      </c>
      <c r="K122" s="7" t="s">
        <v>17</v>
      </c>
      <c r="L122" s="5">
        <f>L42</f>
        <v>0.11374999999999999</v>
      </c>
      <c r="M122" s="5" t="str">
        <f t="shared" si="82"/>
        <v>Oz</v>
      </c>
      <c r="N122" s="5">
        <f t="shared" si="83"/>
        <v>0.36968749999999995</v>
      </c>
      <c r="P122" s="7" t="s">
        <v>91</v>
      </c>
      <c r="Q122" s="7">
        <f>Q42</f>
        <v>5.75</v>
      </c>
      <c r="R122" s="7" t="s">
        <v>17</v>
      </c>
      <c r="S122" s="5">
        <f>S42</f>
        <v>0.11374999999999999</v>
      </c>
      <c r="T122" s="5" t="str">
        <f t="shared" si="84"/>
        <v>Oz</v>
      </c>
      <c r="U122" s="5">
        <f t="shared" si="85"/>
        <v>0.65406249999999999</v>
      </c>
    </row>
    <row r="123" spans="2:21" x14ac:dyDescent="0.35">
      <c r="B123" s="7" t="s">
        <v>90</v>
      </c>
      <c r="C123" s="7">
        <f>C41</f>
        <v>4</v>
      </c>
      <c r="D123" s="7" t="s">
        <v>17</v>
      </c>
      <c r="E123" s="5">
        <f>E41</f>
        <v>0.12362903225806451</v>
      </c>
      <c r="F123" s="5" t="str">
        <f t="shared" si="80"/>
        <v>Oz</v>
      </c>
      <c r="G123" s="5">
        <f t="shared" si="81"/>
        <v>0.49451612903225806</v>
      </c>
      <c r="I123" s="7" t="s">
        <v>90</v>
      </c>
      <c r="J123" s="7">
        <f>J41</f>
        <v>5.625</v>
      </c>
      <c r="K123" s="7" t="s">
        <v>17</v>
      </c>
      <c r="L123" s="5">
        <f>L41</f>
        <v>0.12362903225806451</v>
      </c>
      <c r="M123" s="5" t="str">
        <f t="shared" si="82"/>
        <v>Oz</v>
      </c>
      <c r="N123" s="5">
        <f t="shared" si="83"/>
        <v>0.69541330645161292</v>
      </c>
      <c r="P123" s="7" t="s">
        <v>90</v>
      </c>
      <c r="Q123" s="7">
        <f>Q41</f>
        <v>9.25</v>
      </c>
      <c r="R123" s="7" t="s">
        <v>17</v>
      </c>
      <c r="S123" s="5">
        <f>S41</f>
        <v>0.12362903225806451</v>
      </c>
      <c r="T123" s="5" t="str">
        <f t="shared" si="84"/>
        <v>Oz</v>
      </c>
      <c r="U123" s="5">
        <f t="shared" si="85"/>
        <v>1.1435685483870968</v>
      </c>
    </row>
    <row r="124" spans="2:21" x14ac:dyDescent="0.35">
      <c r="B124" s="7" t="s">
        <v>92</v>
      </c>
      <c r="C124" s="7">
        <f>C43</f>
        <v>2.875</v>
      </c>
      <c r="D124" s="7" t="s">
        <v>17</v>
      </c>
      <c r="E124" s="5">
        <f>E43</f>
        <v>2.75E-2</v>
      </c>
      <c r="F124" s="5" t="str">
        <f t="shared" si="80"/>
        <v>Oz</v>
      </c>
      <c r="G124" s="5">
        <f t="shared" si="81"/>
        <v>7.9062499999999994E-2</v>
      </c>
      <c r="I124" s="7" t="s">
        <v>92</v>
      </c>
      <c r="J124" s="7">
        <f>J43</f>
        <v>3.375</v>
      </c>
      <c r="K124" s="7" t="s">
        <v>17</v>
      </c>
      <c r="L124" s="5">
        <f>L43</f>
        <v>2.75E-2</v>
      </c>
      <c r="M124" s="5" t="str">
        <f t="shared" si="82"/>
        <v>Oz</v>
      </c>
      <c r="N124" s="5">
        <f t="shared" si="83"/>
        <v>9.2812500000000006E-2</v>
      </c>
      <c r="P124" s="7" t="s">
        <v>92</v>
      </c>
      <c r="Q124" s="7">
        <f>Q43</f>
        <v>6.25</v>
      </c>
      <c r="R124" s="7" t="s">
        <v>17</v>
      </c>
      <c r="S124" s="5">
        <f>S43</f>
        <v>2.75E-2</v>
      </c>
      <c r="T124" s="5" t="str">
        <f t="shared" si="84"/>
        <v>Oz</v>
      </c>
      <c r="U124" s="5">
        <f t="shared" si="85"/>
        <v>0.171875</v>
      </c>
    </row>
    <row r="125" spans="2:21" x14ac:dyDescent="0.35">
      <c r="B125" s="7" t="s">
        <v>106</v>
      </c>
      <c r="C125" s="7">
        <f>C109</f>
        <v>3.625</v>
      </c>
      <c r="D125" s="7" t="str">
        <f t="shared" ref="D125:E125" si="86">D109</f>
        <v>Oz</v>
      </c>
      <c r="E125" s="5">
        <f t="shared" si="86"/>
        <v>0.18312500000000001</v>
      </c>
      <c r="F125" s="5" t="str">
        <f>D125</f>
        <v>Oz</v>
      </c>
      <c r="G125" s="5">
        <f t="shared" si="81"/>
        <v>0.66382812499999999</v>
      </c>
      <c r="I125" s="7" t="s">
        <v>106</v>
      </c>
      <c r="J125" s="7">
        <f>J109</f>
        <v>4.75</v>
      </c>
      <c r="K125" s="7" t="str">
        <f t="shared" ref="K125:L125" si="87">K109</f>
        <v>Oz</v>
      </c>
      <c r="L125" s="5">
        <f t="shared" si="87"/>
        <v>0.18312500000000001</v>
      </c>
      <c r="M125" s="5" t="str">
        <f>K125</f>
        <v>Oz</v>
      </c>
      <c r="N125" s="5">
        <f>J125*L125</f>
        <v>0.86984375000000003</v>
      </c>
      <c r="P125" s="7" t="s">
        <v>106</v>
      </c>
      <c r="Q125" s="7">
        <f>Q109</f>
        <v>6</v>
      </c>
      <c r="R125" s="7" t="str">
        <f t="shared" ref="R125:S125" si="88">R109</f>
        <v>Oz</v>
      </c>
      <c r="S125" s="5">
        <f t="shared" si="88"/>
        <v>0.18312500000000001</v>
      </c>
      <c r="T125" s="5" t="str">
        <f>R125</f>
        <v>Oz</v>
      </c>
      <c r="U125" s="5">
        <f>Q125*S125</f>
        <v>1.0987500000000001</v>
      </c>
    </row>
    <row r="126" spans="2:21" x14ac:dyDescent="0.35">
      <c r="B126" s="7" t="s">
        <v>179</v>
      </c>
      <c r="C126" s="7">
        <v>1</v>
      </c>
      <c r="D126" s="7" t="s">
        <v>73</v>
      </c>
      <c r="E126" s="5">
        <f>E10</f>
        <v>0.25980000000000003</v>
      </c>
      <c r="F126" s="5" t="str">
        <f t="shared" ref="F126" si="89">D126</f>
        <v>Box</v>
      </c>
      <c r="G126" s="5">
        <f t="shared" ref="G126" si="90">C126*E126</f>
        <v>0.25980000000000003</v>
      </c>
      <c r="I126" s="7" t="s">
        <v>180</v>
      </c>
      <c r="J126" s="7">
        <v>1</v>
      </c>
      <c r="K126" s="7" t="s">
        <v>73</v>
      </c>
      <c r="L126" s="5">
        <f>L10</f>
        <v>0.30980000000000002</v>
      </c>
      <c r="M126" s="5" t="str">
        <f t="shared" ref="M126" si="91">K126</f>
        <v>Box</v>
      </c>
      <c r="N126" s="5">
        <f t="shared" ref="N126" si="92">J126*L126</f>
        <v>0.30980000000000002</v>
      </c>
      <c r="P126" s="7" t="s">
        <v>181</v>
      </c>
      <c r="Q126" s="7">
        <v>1</v>
      </c>
      <c r="R126" s="7" t="s">
        <v>73</v>
      </c>
      <c r="S126" s="5">
        <f>S10</f>
        <v>0.30980000000000002</v>
      </c>
      <c r="T126" s="5" t="str">
        <f t="shared" ref="T126" si="93">R126</f>
        <v>Box</v>
      </c>
      <c r="U126" s="5">
        <f t="shared" ref="U126" si="94">Q126*S126</f>
        <v>0.30980000000000002</v>
      </c>
    </row>
    <row r="127" spans="2:21" x14ac:dyDescent="0.35">
      <c r="B127" s="7" t="s">
        <v>130</v>
      </c>
      <c r="C127" s="7">
        <v>1</v>
      </c>
      <c r="D127" s="7" t="s">
        <v>74</v>
      </c>
      <c r="E127" s="5">
        <f>E11</f>
        <v>1.8434374999999999E-2</v>
      </c>
      <c r="F127" s="5" t="str">
        <f>D127</f>
        <v>Paper</v>
      </c>
      <c r="G127" s="5">
        <f>C127*E127</f>
        <v>1.8434374999999999E-2</v>
      </c>
      <c r="I127" s="7" t="s">
        <v>130</v>
      </c>
      <c r="J127" s="7">
        <v>1</v>
      </c>
      <c r="K127" s="7" t="s">
        <v>74</v>
      </c>
      <c r="L127" s="5">
        <f>L11</f>
        <v>1.8434374999999999E-2</v>
      </c>
      <c r="M127" s="5" t="str">
        <f>K127</f>
        <v>Paper</v>
      </c>
      <c r="N127" s="5">
        <f>J127*L127</f>
        <v>1.8434374999999999E-2</v>
      </c>
      <c r="P127" s="7" t="s">
        <v>130</v>
      </c>
      <c r="Q127" s="7">
        <v>1</v>
      </c>
      <c r="R127" s="7" t="s">
        <v>74</v>
      </c>
      <c r="S127" s="5">
        <f>S11</f>
        <v>1.8434374999999999E-2</v>
      </c>
      <c r="T127" s="5" t="str">
        <f>R127</f>
        <v>Paper</v>
      </c>
      <c r="U127" s="5">
        <f>Q127*S127</f>
        <v>1.8434374999999999E-2</v>
      </c>
    </row>
    <row r="129" spans="2:21" ht="15.5" x14ac:dyDescent="0.35">
      <c r="B129" s="119" t="s">
        <v>138</v>
      </c>
      <c r="C129" s="120"/>
      <c r="D129" s="121"/>
      <c r="E129" s="122" t="s">
        <v>7</v>
      </c>
      <c r="F129" s="123"/>
      <c r="G129" s="30">
        <f>SUM(G133:G143)</f>
        <v>3.6558321849136659</v>
      </c>
      <c r="I129" s="119" t="s">
        <v>139</v>
      </c>
      <c r="J129" s="120"/>
      <c r="K129" s="121"/>
      <c r="L129" s="122" t="s">
        <v>7</v>
      </c>
      <c r="M129" s="123"/>
      <c r="N129" s="30">
        <f>SUM(N133:N143)</f>
        <v>4.8752533608746864</v>
      </c>
      <c r="P129" s="119" t="s">
        <v>140</v>
      </c>
      <c r="Q129" s="120"/>
      <c r="R129" s="121"/>
      <c r="S129" s="122" t="s">
        <v>7</v>
      </c>
      <c r="T129" s="123"/>
      <c r="U129" s="30">
        <f>SUM(U133:U143)</f>
        <v>7.2719619751757909</v>
      </c>
    </row>
    <row r="130" spans="2:21" x14ac:dyDescent="0.35">
      <c r="B130" s="9"/>
      <c r="G130" s="8"/>
      <c r="I130" s="9"/>
      <c r="N130" s="8"/>
      <c r="P130" s="9"/>
      <c r="U130" s="8"/>
    </row>
    <row r="131" spans="2:21" x14ac:dyDescent="0.35">
      <c r="B131" s="10"/>
      <c r="C131" s="124" t="s">
        <v>13</v>
      </c>
      <c r="D131" s="125"/>
      <c r="E131" s="124" t="s">
        <v>14</v>
      </c>
      <c r="F131" s="125"/>
      <c r="G131" s="5" t="s">
        <v>6</v>
      </c>
      <c r="I131" s="10"/>
      <c r="J131" s="124" t="s">
        <v>13</v>
      </c>
      <c r="K131" s="125"/>
      <c r="L131" s="124" t="s">
        <v>14</v>
      </c>
      <c r="M131" s="125"/>
      <c r="N131" s="5" t="s">
        <v>6</v>
      </c>
      <c r="P131" s="10"/>
      <c r="Q131" s="124" t="s">
        <v>13</v>
      </c>
      <c r="R131" s="125"/>
      <c r="S131" s="124" t="s">
        <v>14</v>
      </c>
      <c r="T131" s="125"/>
      <c r="U131" s="5" t="s">
        <v>6</v>
      </c>
    </row>
    <row r="132" spans="2:21" x14ac:dyDescent="0.35">
      <c r="B132" s="5" t="s">
        <v>10</v>
      </c>
      <c r="C132" s="5" t="s">
        <v>2</v>
      </c>
      <c r="D132" s="5" t="s">
        <v>1</v>
      </c>
      <c r="E132" s="5" t="s">
        <v>11</v>
      </c>
      <c r="F132" s="5" t="s">
        <v>1</v>
      </c>
      <c r="G132" s="5" t="s">
        <v>15</v>
      </c>
      <c r="I132" s="5" t="s">
        <v>10</v>
      </c>
      <c r="J132" s="5" t="s">
        <v>2</v>
      </c>
      <c r="K132" s="5" t="s">
        <v>1</v>
      </c>
      <c r="L132" s="5" t="s">
        <v>11</v>
      </c>
      <c r="M132" s="5" t="s">
        <v>1</v>
      </c>
      <c r="N132" s="5" t="s">
        <v>15</v>
      </c>
      <c r="P132" s="5" t="s">
        <v>10</v>
      </c>
      <c r="Q132" s="5" t="s">
        <v>2</v>
      </c>
      <c r="R132" s="5" t="s">
        <v>1</v>
      </c>
      <c r="S132" s="5" t="s">
        <v>11</v>
      </c>
      <c r="T132" s="5" t="s">
        <v>1</v>
      </c>
      <c r="U132" s="5" t="s">
        <v>15</v>
      </c>
    </row>
    <row r="133" spans="2:21" x14ac:dyDescent="0.35">
      <c r="B133" s="7" t="s">
        <v>61</v>
      </c>
      <c r="C133" s="7">
        <f>C7</f>
        <v>14</v>
      </c>
      <c r="D133" s="7" t="s">
        <v>17</v>
      </c>
      <c r="E133" s="5">
        <f>E7</f>
        <v>3.3574516898448738E-2</v>
      </c>
      <c r="F133" s="5" t="str">
        <f>D133</f>
        <v>Oz</v>
      </c>
      <c r="G133" s="5">
        <f>C133*E133</f>
        <v>0.47004323657828234</v>
      </c>
      <c r="I133" s="7" t="s">
        <v>61</v>
      </c>
      <c r="J133" s="7">
        <f>J7</f>
        <v>14</v>
      </c>
      <c r="K133" s="7" t="s">
        <v>17</v>
      </c>
      <c r="L133" s="5">
        <f>L7</f>
        <v>3.3574516898448738E-2</v>
      </c>
      <c r="M133" s="5" t="str">
        <f>K133</f>
        <v>Oz</v>
      </c>
      <c r="N133" s="5">
        <f>J133*L133</f>
        <v>0.47004323657828234</v>
      </c>
      <c r="P133" s="7" t="s">
        <v>61</v>
      </c>
      <c r="Q133" s="7">
        <f>Q7</f>
        <v>22</v>
      </c>
      <c r="R133" s="7" t="s">
        <v>17</v>
      </c>
      <c r="S133" s="5">
        <f>S7</f>
        <v>3.3574516898448738E-2</v>
      </c>
      <c r="T133" s="5" t="str">
        <f>R133</f>
        <v>Oz</v>
      </c>
      <c r="U133" s="5">
        <f>Q133*S133</f>
        <v>0.73863937176587224</v>
      </c>
    </row>
    <row r="134" spans="2:21" x14ac:dyDescent="0.35">
      <c r="B134" s="7" t="s">
        <v>84</v>
      </c>
      <c r="C134" s="7">
        <f>C8</f>
        <v>2.67</v>
      </c>
      <c r="D134" s="7" t="s">
        <v>17</v>
      </c>
      <c r="E134" s="5">
        <f>E8</f>
        <v>3.9433874270833336E-2</v>
      </c>
      <c r="F134" s="5" t="str">
        <f t="shared" ref="F134:F140" si="95">D134</f>
        <v>Oz</v>
      </c>
      <c r="G134" s="5">
        <f t="shared" ref="G134:G142" si="96">C134*E134</f>
        <v>0.10528844430312501</v>
      </c>
      <c r="I134" s="7" t="s">
        <v>84</v>
      </c>
      <c r="J134" s="7">
        <f>J8</f>
        <v>4.67</v>
      </c>
      <c r="K134" s="7" t="s">
        <v>17</v>
      </c>
      <c r="L134" s="5">
        <f>L8</f>
        <v>3.9433874270833336E-2</v>
      </c>
      <c r="M134" s="5" t="str">
        <f t="shared" ref="M134:M140" si="97">K134</f>
        <v>Oz</v>
      </c>
      <c r="N134" s="5">
        <f t="shared" ref="N134:N140" si="98">J134*L134</f>
        <v>0.18415619284479168</v>
      </c>
      <c r="P134" s="7" t="s">
        <v>84</v>
      </c>
      <c r="Q134" s="7">
        <f>Q8</f>
        <v>6.67</v>
      </c>
      <c r="R134" s="7" t="s">
        <v>17</v>
      </c>
      <c r="S134" s="5">
        <f>S8</f>
        <v>3.9433874270833336E-2</v>
      </c>
      <c r="T134" s="5" t="str">
        <f t="shared" ref="T134:T140" si="99">R134</f>
        <v>Oz</v>
      </c>
      <c r="U134" s="5">
        <f t="shared" ref="U134:U140" si="100">Q134*S134</f>
        <v>0.26302394138645835</v>
      </c>
    </row>
    <row r="135" spans="2:21" x14ac:dyDescent="0.35">
      <c r="B135" s="7" t="s">
        <v>22</v>
      </c>
      <c r="C135" s="7">
        <f>C9</f>
        <v>3.875</v>
      </c>
      <c r="D135" s="7" t="s">
        <v>17</v>
      </c>
      <c r="E135" s="5">
        <f>E38</f>
        <v>0.18312500000000001</v>
      </c>
      <c r="F135" s="5" t="str">
        <f t="shared" si="95"/>
        <v>Oz</v>
      </c>
      <c r="G135" s="5">
        <f t="shared" si="96"/>
        <v>0.70960937499999999</v>
      </c>
      <c r="I135" s="7" t="s">
        <v>22</v>
      </c>
      <c r="J135" s="7">
        <f>J9</f>
        <v>5.625</v>
      </c>
      <c r="K135" s="7" t="s">
        <v>17</v>
      </c>
      <c r="L135" s="5">
        <f>L38</f>
        <v>0.18312500000000001</v>
      </c>
      <c r="M135" s="5" t="str">
        <f t="shared" si="97"/>
        <v>Oz</v>
      </c>
      <c r="N135" s="5">
        <f t="shared" si="98"/>
        <v>1.030078125</v>
      </c>
      <c r="P135" s="7" t="s">
        <v>22</v>
      </c>
      <c r="Q135" s="7">
        <f>Q9</f>
        <v>8.125</v>
      </c>
      <c r="R135" s="7" t="s">
        <v>17</v>
      </c>
      <c r="S135" s="5">
        <f>S38</f>
        <v>0.18312500000000001</v>
      </c>
      <c r="T135" s="5" t="str">
        <f t="shared" si="99"/>
        <v>Oz</v>
      </c>
      <c r="U135" s="5">
        <f t="shared" si="100"/>
        <v>1.4878906250000001</v>
      </c>
    </row>
    <row r="136" spans="2:21" x14ac:dyDescent="0.35">
      <c r="B136" s="7" t="s">
        <v>91</v>
      </c>
      <c r="C136" s="7">
        <f>C42</f>
        <v>2.625</v>
      </c>
      <c r="D136" s="7" t="s">
        <v>17</v>
      </c>
      <c r="E136" s="5">
        <f>E42</f>
        <v>0.11374999999999999</v>
      </c>
      <c r="F136" s="5" t="str">
        <f t="shared" si="95"/>
        <v>Oz</v>
      </c>
      <c r="G136" s="5">
        <f t="shared" si="96"/>
        <v>0.29859374999999999</v>
      </c>
      <c r="I136" s="7" t="s">
        <v>91</v>
      </c>
      <c r="J136" s="7">
        <f>J42</f>
        <v>3.25</v>
      </c>
      <c r="K136" s="7" t="s">
        <v>17</v>
      </c>
      <c r="L136" s="5">
        <f>L42</f>
        <v>0.11374999999999999</v>
      </c>
      <c r="M136" s="5" t="str">
        <f t="shared" si="97"/>
        <v>Oz</v>
      </c>
      <c r="N136" s="5">
        <f t="shared" si="98"/>
        <v>0.36968749999999995</v>
      </c>
      <c r="P136" s="7" t="s">
        <v>91</v>
      </c>
      <c r="Q136" s="7">
        <f>Q42</f>
        <v>5.75</v>
      </c>
      <c r="R136" s="7" t="s">
        <v>17</v>
      </c>
      <c r="S136" s="5">
        <f>S42</f>
        <v>0.11374999999999999</v>
      </c>
      <c r="T136" s="5" t="str">
        <f t="shared" si="99"/>
        <v>Oz</v>
      </c>
      <c r="U136" s="5">
        <f t="shared" si="100"/>
        <v>0.65406249999999999</v>
      </c>
    </row>
    <row r="137" spans="2:21" x14ac:dyDescent="0.35">
      <c r="B137" s="7" t="s">
        <v>90</v>
      </c>
      <c r="C137" s="7">
        <f>C41</f>
        <v>4</v>
      </c>
      <c r="D137" s="7" t="s">
        <v>17</v>
      </c>
      <c r="E137" s="5">
        <f>E41</f>
        <v>0.12362903225806451</v>
      </c>
      <c r="F137" s="5" t="str">
        <f t="shared" si="95"/>
        <v>Oz</v>
      </c>
      <c r="G137" s="5">
        <f t="shared" si="96"/>
        <v>0.49451612903225806</v>
      </c>
      <c r="I137" s="7" t="s">
        <v>90</v>
      </c>
      <c r="J137" s="7">
        <f>J41</f>
        <v>5.625</v>
      </c>
      <c r="K137" s="7" t="s">
        <v>17</v>
      </c>
      <c r="L137" s="5">
        <f>L41</f>
        <v>0.12362903225806451</v>
      </c>
      <c r="M137" s="5" t="str">
        <f t="shared" si="97"/>
        <v>Oz</v>
      </c>
      <c r="N137" s="5">
        <f t="shared" si="98"/>
        <v>0.69541330645161292</v>
      </c>
      <c r="P137" s="7" t="s">
        <v>90</v>
      </c>
      <c r="Q137" s="7">
        <f>Q41</f>
        <v>9.25</v>
      </c>
      <c r="R137" s="7" t="s">
        <v>17</v>
      </c>
      <c r="S137" s="5">
        <f>S41</f>
        <v>0.12362903225806451</v>
      </c>
      <c r="T137" s="5" t="str">
        <f t="shared" si="99"/>
        <v>Oz</v>
      </c>
      <c r="U137" s="5">
        <f t="shared" si="100"/>
        <v>1.1435685483870968</v>
      </c>
    </row>
    <row r="138" spans="2:21" x14ac:dyDescent="0.35">
      <c r="B138" s="7" t="s">
        <v>92</v>
      </c>
      <c r="C138" s="7">
        <f>C43</f>
        <v>2.875</v>
      </c>
      <c r="D138" s="7" t="s">
        <v>17</v>
      </c>
      <c r="E138" s="5">
        <f>E43</f>
        <v>2.75E-2</v>
      </c>
      <c r="F138" s="5" t="str">
        <f t="shared" si="95"/>
        <v>Oz</v>
      </c>
      <c r="G138" s="5">
        <f t="shared" si="96"/>
        <v>7.9062499999999994E-2</v>
      </c>
      <c r="I138" s="7" t="s">
        <v>92</v>
      </c>
      <c r="J138" s="7">
        <f>J43</f>
        <v>3.375</v>
      </c>
      <c r="K138" s="7" t="s">
        <v>17</v>
      </c>
      <c r="L138" s="5">
        <f>L43</f>
        <v>2.75E-2</v>
      </c>
      <c r="M138" s="5" t="str">
        <f t="shared" si="97"/>
        <v>Oz</v>
      </c>
      <c r="N138" s="5">
        <f t="shared" si="98"/>
        <v>9.2812500000000006E-2</v>
      </c>
      <c r="P138" s="7" t="s">
        <v>92</v>
      </c>
      <c r="Q138" s="7">
        <f>Q43</f>
        <v>6.25</v>
      </c>
      <c r="R138" s="7" t="s">
        <v>17</v>
      </c>
      <c r="S138" s="5">
        <f>S43</f>
        <v>2.75E-2</v>
      </c>
      <c r="T138" s="5" t="str">
        <f t="shared" si="99"/>
        <v>Oz</v>
      </c>
      <c r="U138" s="5">
        <f t="shared" si="100"/>
        <v>0.171875</v>
      </c>
    </row>
    <row r="139" spans="2:21" x14ac:dyDescent="0.35">
      <c r="B139" s="7" t="s">
        <v>93</v>
      </c>
      <c r="C139" s="7">
        <f>C44</f>
        <v>2.75</v>
      </c>
      <c r="D139" s="7" t="s">
        <v>17</v>
      </c>
      <c r="E139" s="5">
        <f>E44</f>
        <v>0.13027272727272726</v>
      </c>
      <c r="F139" s="5" t="str">
        <f t="shared" si="95"/>
        <v>Oz</v>
      </c>
      <c r="G139" s="5">
        <f t="shared" si="96"/>
        <v>0.35824999999999996</v>
      </c>
      <c r="I139" s="7" t="s">
        <v>93</v>
      </c>
      <c r="J139" s="7">
        <f>J44</f>
        <v>4.125</v>
      </c>
      <c r="K139" s="7" t="s">
        <v>17</v>
      </c>
      <c r="L139" s="5">
        <f>L44</f>
        <v>0.13027272727272726</v>
      </c>
      <c r="M139" s="5" t="str">
        <f t="shared" si="97"/>
        <v>Oz</v>
      </c>
      <c r="N139" s="5">
        <f t="shared" si="98"/>
        <v>0.53737499999999994</v>
      </c>
      <c r="P139" s="7" t="s">
        <v>93</v>
      </c>
      <c r="Q139" s="7">
        <f>Q44</f>
        <v>7.375</v>
      </c>
      <c r="R139" s="7" t="s">
        <v>17</v>
      </c>
      <c r="S139" s="5">
        <f>S44</f>
        <v>0.13027272727272726</v>
      </c>
      <c r="T139" s="5" t="str">
        <f t="shared" si="99"/>
        <v>Oz</v>
      </c>
      <c r="U139" s="5">
        <f t="shared" si="100"/>
        <v>0.96076136363636355</v>
      </c>
    </row>
    <row r="140" spans="2:21" x14ac:dyDescent="0.35">
      <c r="B140" s="7" t="s">
        <v>107</v>
      </c>
      <c r="C140" s="7">
        <f>C45</f>
        <v>1.75</v>
      </c>
      <c r="D140" s="7" t="s">
        <v>17</v>
      </c>
      <c r="E140" s="5">
        <f>E45</f>
        <v>0.113375</v>
      </c>
      <c r="F140" s="5" t="str">
        <f t="shared" si="95"/>
        <v>Oz</v>
      </c>
      <c r="G140" s="5">
        <f t="shared" si="96"/>
        <v>0.19840625000000001</v>
      </c>
      <c r="I140" s="7" t="s">
        <v>107</v>
      </c>
      <c r="J140" s="7">
        <f>J45</f>
        <v>2.625</v>
      </c>
      <c r="K140" s="7" t="s">
        <v>17</v>
      </c>
      <c r="L140" s="5">
        <f>L45</f>
        <v>0.113375</v>
      </c>
      <c r="M140" s="5" t="str">
        <f t="shared" si="97"/>
        <v>Oz</v>
      </c>
      <c r="N140" s="5">
        <f t="shared" si="98"/>
        <v>0.29760937500000001</v>
      </c>
      <c r="P140" s="7" t="s">
        <v>107</v>
      </c>
      <c r="Q140" s="7">
        <f>Q45</f>
        <v>3.75</v>
      </c>
      <c r="R140" s="7" t="s">
        <v>17</v>
      </c>
      <c r="S140" s="5">
        <f>S45</f>
        <v>0.113375</v>
      </c>
      <c r="T140" s="5" t="str">
        <f t="shared" si="99"/>
        <v>Oz</v>
      </c>
      <c r="U140" s="5">
        <f t="shared" si="100"/>
        <v>0.42515625000000001</v>
      </c>
    </row>
    <row r="141" spans="2:21" x14ac:dyDescent="0.35">
      <c r="B141" s="7" t="s">
        <v>106</v>
      </c>
      <c r="C141" s="7">
        <f>C125</f>
        <v>3.625</v>
      </c>
      <c r="D141" s="7" t="str">
        <f t="shared" ref="D141:E141" si="101">D125</f>
        <v>Oz</v>
      </c>
      <c r="E141" s="5">
        <f t="shared" si="101"/>
        <v>0.18312500000000001</v>
      </c>
      <c r="F141" s="5" t="str">
        <f>D141</f>
        <v>Oz</v>
      </c>
      <c r="G141" s="5">
        <f t="shared" si="96"/>
        <v>0.66382812499999999</v>
      </c>
      <c r="I141" s="7" t="s">
        <v>106</v>
      </c>
      <c r="J141" s="7">
        <f>J125</f>
        <v>4.75</v>
      </c>
      <c r="K141" s="7" t="str">
        <f t="shared" ref="K141:L141" si="102">K125</f>
        <v>Oz</v>
      </c>
      <c r="L141" s="5">
        <f t="shared" si="102"/>
        <v>0.18312500000000001</v>
      </c>
      <c r="M141" s="5" t="str">
        <f>K141</f>
        <v>Oz</v>
      </c>
      <c r="N141" s="5">
        <f>J141*L141</f>
        <v>0.86984375000000003</v>
      </c>
      <c r="P141" s="7" t="s">
        <v>106</v>
      </c>
      <c r="Q141" s="7">
        <f>Q125</f>
        <v>6</v>
      </c>
      <c r="R141" s="7" t="str">
        <f t="shared" ref="R141:S141" si="103">R125</f>
        <v>Oz</v>
      </c>
      <c r="S141" s="5">
        <f t="shared" si="103"/>
        <v>0.18312500000000001</v>
      </c>
      <c r="T141" s="5" t="str">
        <f>R141</f>
        <v>Oz</v>
      </c>
      <c r="U141" s="5">
        <f>Q141*S141</f>
        <v>1.0987500000000001</v>
      </c>
    </row>
    <row r="142" spans="2:21" x14ac:dyDescent="0.35">
      <c r="B142" s="7" t="s">
        <v>179</v>
      </c>
      <c r="C142" s="7">
        <v>1</v>
      </c>
      <c r="D142" s="7" t="s">
        <v>73</v>
      </c>
      <c r="E142" s="5">
        <f>E10</f>
        <v>0.25980000000000003</v>
      </c>
      <c r="F142" s="5" t="str">
        <f t="shared" ref="F142" si="104">D142</f>
        <v>Box</v>
      </c>
      <c r="G142" s="5">
        <f t="shared" si="96"/>
        <v>0.25980000000000003</v>
      </c>
      <c r="I142" s="7" t="s">
        <v>180</v>
      </c>
      <c r="J142" s="7">
        <v>1</v>
      </c>
      <c r="K142" s="7" t="s">
        <v>73</v>
      </c>
      <c r="L142" s="5">
        <f>L10</f>
        <v>0.30980000000000002</v>
      </c>
      <c r="M142" s="5" t="str">
        <f t="shared" ref="M142" si="105">K142</f>
        <v>Box</v>
      </c>
      <c r="N142" s="5">
        <f t="shared" ref="N142" si="106">J142*L142</f>
        <v>0.30980000000000002</v>
      </c>
      <c r="P142" s="7" t="s">
        <v>181</v>
      </c>
      <c r="Q142" s="7">
        <v>1</v>
      </c>
      <c r="R142" s="7" t="s">
        <v>73</v>
      </c>
      <c r="S142" s="5">
        <f>S10</f>
        <v>0.30980000000000002</v>
      </c>
      <c r="T142" s="5" t="str">
        <f t="shared" ref="T142" si="107">R142</f>
        <v>Box</v>
      </c>
      <c r="U142" s="5">
        <f t="shared" ref="U142" si="108">Q142*S142</f>
        <v>0.30980000000000002</v>
      </c>
    </row>
    <row r="143" spans="2:21" x14ac:dyDescent="0.35">
      <c r="B143" s="7" t="s">
        <v>130</v>
      </c>
      <c r="C143" s="7">
        <v>1</v>
      </c>
      <c r="D143" s="7" t="s">
        <v>74</v>
      </c>
      <c r="E143" s="5">
        <f>E11</f>
        <v>1.8434374999999999E-2</v>
      </c>
      <c r="F143" s="5" t="str">
        <f>D143</f>
        <v>Paper</v>
      </c>
      <c r="G143" s="5">
        <f>C143*E143</f>
        <v>1.8434374999999999E-2</v>
      </c>
      <c r="I143" s="7" t="s">
        <v>130</v>
      </c>
      <c r="J143" s="7">
        <v>1</v>
      </c>
      <c r="K143" s="7" t="s">
        <v>74</v>
      </c>
      <c r="L143" s="5">
        <f>L11</f>
        <v>1.8434374999999999E-2</v>
      </c>
      <c r="M143" s="5" t="str">
        <f>K143</f>
        <v>Paper</v>
      </c>
      <c r="N143" s="5">
        <f>J143*L143</f>
        <v>1.8434374999999999E-2</v>
      </c>
      <c r="P143" s="7" t="s">
        <v>130</v>
      </c>
      <c r="Q143" s="7">
        <v>1</v>
      </c>
      <c r="R143" s="7" t="s">
        <v>74</v>
      </c>
      <c r="S143" s="5">
        <f>S11</f>
        <v>1.8434374999999999E-2</v>
      </c>
      <c r="T143" s="5" t="str">
        <f>R143</f>
        <v>Paper</v>
      </c>
      <c r="U143" s="5">
        <f>Q143*S143</f>
        <v>1.8434374999999999E-2</v>
      </c>
    </row>
    <row r="145" spans="2:21" ht="15.5" x14ac:dyDescent="0.35">
      <c r="B145" s="119" t="s">
        <v>141</v>
      </c>
      <c r="C145" s="120"/>
      <c r="D145" s="121"/>
      <c r="E145" s="122" t="s">
        <v>7</v>
      </c>
      <c r="F145" s="123"/>
      <c r="G145" s="30">
        <f>SUM(G149:G160)</f>
        <v>2.247077764790502</v>
      </c>
      <c r="I145" s="119" t="s">
        <v>142</v>
      </c>
      <c r="J145" s="120"/>
      <c r="K145" s="121"/>
      <c r="L145" s="122" t="s">
        <v>7</v>
      </c>
      <c r="M145" s="123"/>
      <c r="N145" s="30">
        <f>SUM(N149:N160)</f>
        <v>2.8401422781889369</v>
      </c>
      <c r="P145" s="119" t="s">
        <v>143</v>
      </c>
      <c r="Q145" s="120"/>
      <c r="R145" s="121"/>
      <c r="S145" s="122" t="s">
        <v>7</v>
      </c>
      <c r="T145" s="123"/>
      <c r="U145" s="30">
        <f>SUM(U149:U160)</f>
        <v>3.7441466767749629</v>
      </c>
    </row>
    <row r="146" spans="2:21" x14ac:dyDescent="0.35">
      <c r="B146" s="9"/>
      <c r="G146" s="8"/>
      <c r="I146" s="9"/>
      <c r="N146" s="8"/>
      <c r="P146" s="9"/>
      <c r="U146" s="8"/>
    </row>
    <row r="147" spans="2:21" x14ac:dyDescent="0.35">
      <c r="B147" s="10"/>
      <c r="C147" s="124" t="s">
        <v>13</v>
      </c>
      <c r="D147" s="125"/>
      <c r="E147" s="124" t="s">
        <v>14</v>
      </c>
      <c r="F147" s="125"/>
      <c r="G147" s="5" t="s">
        <v>6</v>
      </c>
      <c r="I147" s="10"/>
      <c r="J147" s="124" t="s">
        <v>13</v>
      </c>
      <c r="K147" s="125"/>
      <c r="L147" s="124" t="s">
        <v>14</v>
      </c>
      <c r="M147" s="125"/>
      <c r="N147" s="5" t="s">
        <v>6</v>
      </c>
      <c r="P147" s="10"/>
      <c r="Q147" s="124" t="s">
        <v>13</v>
      </c>
      <c r="R147" s="125"/>
      <c r="S147" s="124" t="s">
        <v>14</v>
      </c>
      <c r="T147" s="125"/>
      <c r="U147" s="5" t="s">
        <v>6</v>
      </c>
    </row>
    <row r="148" spans="2:21" x14ac:dyDescent="0.35">
      <c r="B148" s="5" t="s">
        <v>10</v>
      </c>
      <c r="C148" s="5" t="s">
        <v>2</v>
      </c>
      <c r="D148" s="5" t="s">
        <v>1</v>
      </c>
      <c r="E148" s="5" t="s">
        <v>11</v>
      </c>
      <c r="F148" s="5" t="s">
        <v>1</v>
      </c>
      <c r="G148" s="5" t="s">
        <v>15</v>
      </c>
      <c r="I148" s="5" t="s">
        <v>10</v>
      </c>
      <c r="J148" s="5" t="s">
        <v>2</v>
      </c>
      <c r="K148" s="5" t="s">
        <v>1</v>
      </c>
      <c r="L148" s="5" t="s">
        <v>11</v>
      </c>
      <c r="M148" s="5" t="s">
        <v>1</v>
      </c>
      <c r="N148" s="5" t="s">
        <v>15</v>
      </c>
      <c r="P148" s="5" t="s">
        <v>10</v>
      </c>
      <c r="Q148" s="5" t="s">
        <v>2</v>
      </c>
      <c r="R148" s="5" t="s">
        <v>1</v>
      </c>
      <c r="S148" s="5" t="s">
        <v>11</v>
      </c>
      <c r="T148" s="5" t="s">
        <v>1</v>
      </c>
      <c r="U148" s="5" t="s">
        <v>15</v>
      </c>
    </row>
    <row r="149" spans="2:21" x14ac:dyDescent="0.35">
      <c r="B149" s="7" t="s">
        <v>61</v>
      </c>
      <c r="C149" s="7">
        <f>C7</f>
        <v>14</v>
      </c>
      <c r="D149" s="7" t="s">
        <v>17</v>
      </c>
      <c r="E149" s="5">
        <f>E7</f>
        <v>3.3574516898448738E-2</v>
      </c>
      <c r="F149" s="5" t="str">
        <f>D149</f>
        <v>Oz</v>
      </c>
      <c r="G149" s="5">
        <f>C149*E149</f>
        <v>0.47004323657828234</v>
      </c>
      <c r="I149" s="7" t="s">
        <v>61</v>
      </c>
      <c r="J149" s="7">
        <f>J7</f>
        <v>14</v>
      </c>
      <c r="K149" s="7" t="s">
        <v>17</v>
      </c>
      <c r="L149" s="5">
        <f>L7</f>
        <v>3.3574516898448738E-2</v>
      </c>
      <c r="M149" s="5" t="str">
        <f>K149</f>
        <v>Oz</v>
      </c>
      <c r="N149" s="5">
        <f>J149*L149</f>
        <v>0.47004323657828234</v>
      </c>
      <c r="P149" s="7" t="s">
        <v>61</v>
      </c>
      <c r="Q149" s="7">
        <f>Q7</f>
        <v>22</v>
      </c>
      <c r="R149" s="7" t="s">
        <v>17</v>
      </c>
      <c r="S149" s="5">
        <f>S7</f>
        <v>3.3574516898448738E-2</v>
      </c>
      <c r="T149" s="5" t="str">
        <f>R149</f>
        <v>Oz</v>
      </c>
      <c r="U149" s="5">
        <f>Q149*S149</f>
        <v>0.73863937176587224</v>
      </c>
    </row>
    <row r="150" spans="2:21" x14ac:dyDescent="0.35">
      <c r="B150" s="7" t="s">
        <v>85</v>
      </c>
      <c r="C150" s="7">
        <f>C18</f>
        <v>1</v>
      </c>
      <c r="D150" s="7" t="s">
        <v>17</v>
      </c>
      <c r="E150" s="5">
        <f>E18</f>
        <v>0.16019152679687035</v>
      </c>
      <c r="F150" s="5" t="str">
        <f t="shared" ref="F150:F157" si="109">D150</f>
        <v>Oz</v>
      </c>
      <c r="G150" s="5">
        <f t="shared" ref="G150:G159" si="110">C150*E150</f>
        <v>0.16019152679687035</v>
      </c>
      <c r="I150" s="7" t="s">
        <v>85</v>
      </c>
      <c r="J150" s="7">
        <f>J18</f>
        <v>1.5</v>
      </c>
      <c r="K150" s="7" t="s">
        <v>17</v>
      </c>
      <c r="L150" s="5">
        <f>L18</f>
        <v>0.16019152679687035</v>
      </c>
      <c r="M150" s="5" t="str">
        <f t="shared" ref="M150:M157" si="111">K150</f>
        <v>Oz</v>
      </c>
      <c r="N150" s="5">
        <f t="shared" ref="N150:N157" si="112">J150*L150</f>
        <v>0.24028729019530554</v>
      </c>
      <c r="P150" s="7" t="s">
        <v>85</v>
      </c>
      <c r="Q150" s="7">
        <f>Q18</f>
        <v>2</v>
      </c>
      <c r="R150" s="7" t="s">
        <v>17</v>
      </c>
      <c r="S150" s="5">
        <f>S18</f>
        <v>0.16019152679687035</v>
      </c>
      <c r="T150" s="5" t="str">
        <f t="shared" ref="T150:T157" si="113">R150</f>
        <v>Oz</v>
      </c>
      <c r="U150" s="5">
        <f t="shared" ref="U150:U157" si="114">Q150*S150</f>
        <v>0.3203830535937407</v>
      </c>
    </row>
    <row r="151" spans="2:21" x14ac:dyDescent="0.35">
      <c r="B151" s="7" t="s">
        <v>22</v>
      </c>
      <c r="C151" s="7">
        <f>C9</f>
        <v>3.875</v>
      </c>
      <c r="D151" s="7" t="s">
        <v>17</v>
      </c>
      <c r="E151" s="5">
        <f>E38</f>
        <v>0.18312500000000001</v>
      </c>
      <c r="F151" s="5" t="str">
        <f t="shared" si="109"/>
        <v>Oz</v>
      </c>
      <c r="G151" s="5">
        <f t="shared" si="110"/>
        <v>0.70960937499999999</v>
      </c>
      <c r="I151" s="7" t="s">
        <v>22</v>
      </c>
      <c r="J151" s="7">
        <f>J9</f>
        <v>5.625</v>
      </c>
      <c r="K151" s="7" t="s">
        <v>17</v>
      </c>
      <c r="L151" s="5">
        <f>L38</f>
        <v>0.18312500000000001</v>
      </c>
      <c r="M151" s="5" t="str">
        <f t="shared" si="111"/>
        <v>Oz</v>
      </c>
      <c r="N151" s="5">
        <f t="shared" si="112"/>
        <v>1.030078125</v>
      </c>
      <c r="P151" s="7" t="s">
        <v>22</v>
      </c>
      <c r="Q151" s="7">
        <f>Q9</f>
        <v>8.125</v>
      </c>
      <c r="R151" s="7" t="s">
        <v>17</v>
      </c>
      <c r="S151" s="5">
        <f>S38</f>
        <v>0.18312500000000001</v>
      </c>
      <c r="T151" s="5" t="str">
        <f t="shared" si="113"/>
        <v>Oz</v>
      </c>
      <c r="U151" s="5">
        <f t="shared" si="114"/>
        <v>1.4878906250000001</v>
      </c>
    </row>
    <row r="152" spans="2:21" x14ac:dyDescent="0.35">
      <c r="B152" s="7" t="s">
        <v>232</v>
      </c>
      <c r="C152" s="7"/>
      <c r="D152" s="7" t="s">
        <v>17</v>
      </c>
      <c r="E152" s="5">
        <f>'Food Prices'!L91</f>
        <v>7.2727272727272724E-2</v>
      </c>
      <c r="F152" s="5" t="str">
        <f t="shared" si="109"/>
        <v>Oz</v>
      </c>
      <c r="G152" s="5">
        <f t="shared" si="110"/>
        <v>0</v>
      </c>
      <c r="I152" s="7" t="s">
        <v>232</v>
      </c>
      <c r="J152" s="7"/>
      <c r="K152" s="7" t="s">
        <v>17</v>
      </c>
      <c r="L152" s="5">
        <f>E152</f>
        <v>7.2727272727272724E-2</v>
      </c>
      <c r="M152" s="5" t="str">
        <f t="shared" si="111"/>
        <v>Oz</v>
      </c>
      <c r="N152" s="5">
        <f t="shared" si="112"/>
        <v>0</v>
      </c>
      <c r="P152" s="7" t="s">
        <v>232</v>
      </c>
      <c r="Q152" s="7"/>
      <c r="R152" s="7" t="s">
        <v>17</v>
      </c>
      <c r="S152" s="5">
        <f>L152</f>
        <v>7.2727272727272724E-2</v>
      </c>
      <c r="T152" s="5" t="str">
        <f t="shared" si="113"/>
        <v>Oz</v>
      </c>
      <c r="U152" s="5">
        <f t="shared" si="114"/>
        <v>0</v>
      </c>
    </row>
    <row r="153" spans="2:21" x14ac:dyDescent="0.35">
      <c r="B153" s="7" t="s">
        <v>233</v>
      </c>
      <c r="C153" s="7"/>
      <c r="D153" s="7" t="s">
        <v>17</v>
      </c>
      <c r="E153" s="5">
        <f>'Food Prices'!L86</f>
        <v>9.7537878787878798E-2</v>
      </c>
      <c r="F153" s="5" t="s">
        <v>17</v>
      </c>
      <c r="G153" s="5">
        <f t="shared" si="110"/>
        <v>0</v>
      </c>
      <c r="I153" s="7" t="s">
        <v>233</v>
      </c>
      <c r="J153" s="7"/>
      <c r="K153" s="7" t="s">
        <v>17</v>
      </c>
      <c r="L153" s="5">
        <f>E153</f>
        <v>9.7537878787878798E-2</v>
      </c>
      <c r="M153" s="5" t="str">
        <f t="shared" si="111"/>
        <v>Oz</v>
      </c>
      <c r="N153" s="5">
        <f t="shared" si="112"/>
        <v>0</v>
      </c>
      <c r="P153" s="7" t="s">
        <v>233</v>
      </c>
      <c r="Q153" s="7"/>
      <c r="R153" s="7" t="s">
        <v>17</v>
      </c>
      <c r="S153" s="5">
        <f>L153</f>
        <v>9.7537878787878798E-2</v>
      </c>
      <c r="T153" s="5" t="str">
        <f t="shared" si="113"/>
        <v>Oz</v>
      </c>
      <c r="U153" s="5">
        <f t="shared" si="114"/>
        <v>0</v>
      </c>
    </row>
    <row r="154" spans="2:21" x14ac:dyDescent="0.35">
      <c r="B154" s="7" t="s">
        <v>145</v>
      </c>
      <c r="C154" s="7">
        <f>C50</f>
        <v>5.125</v>
      </c>
      <c r="D154" s="7" t="s">
        <v>17</v>
      </c>
      <c r="E154" s="5">
        <f>E50</f>
        <v>0.06</v>
      </c>
      <c r="F154" s="5" t="str">
        <f t="shared" si="109"/>
        <v>Oz</v>
      </c>
      <c r="G154" s="5">
        <f t="shared" si="110"/>
        <v>0.3075</v>
      </c>
      <c r="I154" s="7" t="s">
        <v>145</v>
      </c>
      <c r="J154" s="7">
        <f>J50</f>
        <v>7.5</v>
      </c>
      <c r="K154" s="7" t="s">
        <v>17</v>
      </c>
      <c r="L154" s="5">
        <f t="shared" ref="L154:L158" si="115">E154</f>
        <v>0.06</v>
      </c>
      <c r="M154" s="5" t="str">
        <f t="shared" si="111"/>
        <v>Oz</v>
      </c>
      <c r="N154" s="5">
        <f t="shared" si="112"/>
        <v>0.44999999999999996</v>
      </c>
      <c r="P154" s="7" t="s">
        <v>145</v>
      </c>
      <c r="Q154" s="7">
        <f>Q50</f>
        <v>9.125</v>
      </c>
      <c r="R154" s="7" t="s">
        <v>17</v>
      </c>
      <c r="S154" s="5">
        <f t="shared" ref="S154:S158" si="116">L154</f>
        <v>0.06</v>
      </c>
      <c r="T154" s="5" t="str">
        <f t="shared" si="113"/>
        <v>Oz</v>
      </c>
      <c r="U154" s="5">
        <f t="shared" si="114"/>
        <v>0.54749999999999999</v>
      </c>
    </row>
    <row r="155" spans="2:21" x14ac:dyDescent="0.35">
      <c r="B155" s="7" t="s">
        <v>146</v>
      </c>
      <c r="C155" s="7"/>
      <c r="D155" s="7" t="s">
        <v>17</v>
      </c>
      <c r="E155" s="5">
        <f>'Food Prices'!L89</f>
        <v>8.7187500000000001E-2</v>
      </c>
      <c r="F155" s="5" t="str">
        <f t="shared" si="109"/>
        <v>Oz</v>
      </c>
      <c r="G155" s="5">
        <f t="shared" si="110"/>
        <v>0</v>
      </c>
      <c r="I155" s="7" t="s">
        <v>146</v>
      </c>
      <c r="J155" s="7"/>
      <c r="K155" s="7" t="s">
        <v>17</v>
      </c>
      <c r="L155" s="5">
        <f t="shared" si="115"/>
        <v>8.7187500000000001E-2</v>
      </c>
      <c r="M155" s="5" t="str">
        <f t="shared" si="111"/>
        <v>Oz</v>
      </c>
      <c r="N155" s="5">
        <f t="shared" si="112"/>
        <v>0</v>
      </c>
      <c r="P155" s="7" t="s">
        <v>146</v>
      </c>
      <c r="Q155" s="7"/>
      <c r="R155" s="7" t="s">
        <v>17</v>
      </c>
      <c r="S155" s="5">
        <f t="shared" si="116"/>
        <v>8.7187500000000001E-2</v>
      </c>
      <c r="T155" s="5" t="str">
        <f t="shared" si="113"/>
        <v>Oz</v>
      </c>
      <c r="U155" s="5">
        <f t="shared" si="114"/>
        <v>0</v>
      </c>
    </row>
    <row r="156" spans="2:21" x14ac:dyDescent="0.35">
      <c r="B156" s="7" t="s">
        <v>147</v>
      </c>
      <c r="C156" s="7"/>
      <c r="D156" s="7" t="s">
        <v>17</v>
      </c>
      <c r="E156" s="5">
        <f>'Food Prices'!L8</f>
        <v>0.625</v>
      </c>
      <c r="F156" s="5" t="str">
        <f t="shared" si="109"/>
        <v>Oz</v>
      </c>
      <c r="G156" s="5">
        <f t="shared" si="110"/>
        <v>0</v>
      </c>
      <c r="I156" s="7" t="s">
        <v>147</v>
      </c>
      <c r="J156" s="7"/>
      <c r="K156" s="7" t="s">
        <v>17</v>
      </c>
      <c r="L156" s="5">
        <f t="shared" si="115"/>
        <v>0.625</v>
      </c>
      <c r="M156" s="5" t="str">
        <f t="shared" si="111"/>
        <v>Oz</v>
      </c>
      <c r="N156" s="5">
        <f t="shared" si="112"/>
        <v>0</v>
      </c>
      <c r="P156" s="7" t="s">
        <v>147</v>
      </c>
      <c r="Q156" s="7"/>
      <c r="R156" s="7" t="s">
        <v>17</v>
      </c>
      <c r="S156" s="5">
        <f t="shared" si="116"/>
        <v>0.625</v>
      </c>
      <c r="T156" s="5" t="str">
        <f t="shared" si="113"/>
        <v>Oz</v>
      </c>
      <c r="U156" s="5">
        <f t="shared" si="114"/>
        <v>0</v>
      </c>
    </row>
    <row r="157" spans="2:21" x14ac:dyDescent="0.35">
      <c r="B157" s="7" t="s">
        <v>148</v>
      </c>
      <c r="C157" s="7"/>
      <c r="D157" s="7" t="s">
        <v>17</v>
      </c>
      <c r="E157" s="5">
        <f>'Food Prices'!L21</f>
        <v>0.21484375</v>
      </c>
      <c r="F157" s="5" t="str">
        <f t="shared" si="109"/>
        <v>Oz</v>
      </c>
      <c r="G157" s="5">
        <f t="shared" si="110"/>
        <v>0</v>
      </c>
      <c r="I157" s="7" t="s">
        <v>148</v>
      </c>
      <c r="J157" s="7"/>
      <c r="K157" s="7" t="s">
        <v>17</v>
      </c>
      <c r="L157" s="5">
        <f t="shared" si="115"/>
        <v>0.21484375</v>
      </c>
      <c r="M157" s="5" t="str">
        <f t="shared" si="111"/>
        <v>Oz</v>
      </c>
      <c r="N157" s="5">
        <f t="shared" si="112"/>
        <v>0</v>
      </c>
      <c r="P157" s="7" t="s">
        <v>148</v>
      </c>
      <c r="Q157" s="7"/>
      <c r="R157" s="7" t="s">
        <v>17</v>
      </c>
      <c r="S157" s="5">
        <f t="shared" si="116"/>
        <v>0.21484375</v>
      </c>
      <c r="T157" s="5" t="str">
        <f t="shared" si="113"/>
        <v>Oz</v>
      </c>
      <c r="U157" s="5">
        <f t="shared" si="114"/>
        <v>0</v>
      </c>
    </row>
    <row r="158" spans="2:21" x14ac:dyDescent="0.35">
      <c r="B158" s="7" t="s">
        <v>149</v>
      </c>
      <c r="C158" s="7">
        <v>1</v>
      </c>
      <c r="D158" s="7" t="s">
        <v>103</v>
      </c>
      <c r="E158" s="5">
        <f>Sides!N11</f>
        <v>0.32149925141534941</v>
      </c>
      <c r="F158" s="5" t="str">
        <f>D158</f>
        <v>4-oz side</v>
      </c>
      <c r="G158" s="5">
        <f t="shared" si="110"/>
        <v>0.32149925141534941</v>
      </c>
      <c r="I158" s="7" t="s">
        <v>149</v>
      </c>
      <c r="J158" s="7">
        <v>1</v>
      </c>
      <c r="K158" s="7" t="s">
        <v>103</v>
      </c>
      <c r="L158" s="5">
        <f t="shared" si="115"/>
        <v>0.32149925141534941</v>
      </c>
      <c r="M158" s="5" t="str">
        <f>K158</f>
        <v>4-oz side</v>
      </c>
      <c r="N158" s="5">
        <f>J158*L158</f>
        <v>0.32149925141534941</v>
      </c>
      <c r="P158" s="7" t="s">
        <v>149</v>
      </c>
      <c r="Q158" s="7">
        <v>1</v>
      </c>
      <c r="R158" s="7" t="s">
        <v>103</v>
      </c>
      <c r="S158" s="5">
        <f t="shared" si="116"/>
        <v>0.32149925141534941</v>
      </c>
      <c r="T158" s="5" t="str">
        <f>R158</f>
        <v>4-oz side</v>
      </c>
      <c r="U158" s="5">
        <f>Q158*S158</f>
        <v>0.32149925141534941</v>
      </c>
    </row>
    <row r="159" spans="2:21" x14ac:dyDescent="0.35">
      <c r="B159" s="7" t="s">
        <v>179</v>
      </c>
      <c r="C159" s="7">
        <v>1</v>
      </c>
      <c r="D159" s="7" t="s">
        <v>73</v>
      </c>
      <c r="E159" s="5">
        <f>E10</f>
        <v>0.25980000000000003</v>
      </c>
      <c r="F159" s="5" t="str">
        <f t="shared" ref="F159" si="117">D159</f>
        <v>Box</v>
      </c>
      <c r="G159" s="5">
        <f t="shared" si="110"/>
        <v>0.25980000000000003</v>
      </c>
      <c r="I159" s="7" t="s">
        <v>180</v>
      </c>
      <c r="J159" s="7">
        <v>1</v>
      </c>
      <c r="K159" s="7" t="s">
        <v>73</v>
      </c>
      <c r="L159" s="5">
        <f>L10</f>
        <v>0.30980000000000002</v>
      </c>
      <c r="M159" s="5" t="str">
        <f t="shared" ref="M159" si="118">K159</f>
        <v>Box</v>
      </c>
      <c r="N159" s="5">
        <f t="shared" ref="N159" si="119">J159*L159</f>
        <v>0.30980000000000002</v>
      </c>
      <c r="P159" s="7" t="s">
        <v>181</v>
      </c>
      <c r="Q159" s="7">
        <v>1</v>
      </c>
      <c r="R159" s="7" t="s">
        <v>73</v>
      </c>
      <c r="S159" s="5">
        <f>S10</f>
        <v>0.30980000000000002</v>
      </c>
      <c r="T159" s="5" t="str">
        <f t="shared" ref="T159" si="120">R159</f>
        <v>Box</v>
      </c>
      <c r="U159" s="5">
        <f t="shared" ref="U159" si="121">Q159*S159</f>
        <v>0.30980000000000002</v>
      </c>
    </row>
    <row r="160" spans="2:21" x14ac:dyDescent="0.35">
      <c r="B160" s="7" t="s">
        <v>130</v>
      </c>
      <c r="C160" s="7">
        <v>1</v>
      </c>
      <c r="D160" s="7" t="s">
        <v>74</v>
      </c>
      <c r="E160" s="5">
        <f>E11</f>
        <v>1.8434374999999999E-2</v>
      </c>
      <c r="F160" s="5" t="str">
        <f>D160</f>
        <v>Paper</v>
      </c>
      <c r="G160" s="5">
        <f>C160*E160</f>
        <v>1.8434374999999999E-2</v>
      </c>
      <c r="I160" s="7" t="s">
        <v>130</v>
      </c>
      <c r="J160" s="7">
        <v>1</v>
      </c>
      <c r="K160" s="7" t="s">
        <v>74</v>
      </c>
      <c r="L160" s="5">
        <f>L11</f>
        <v>1.8434374999999999E-2</v>
      </c>
      <c r="M160" s="5" t="str">
        <f>K160</f>
        <v>Paper</v>
      </c>
      <c r="N160" s="5">
        <f>J160*L160</f>
        <v>1.8434374999999999E-2</v>
      </c>
      <c r="P160" s="7" t="s">
        <v>130</v>
      </c>
      <c r="Q160" s="7">
        <v>1</v>
      </c>
      <c r="R160" s="7" t="s">
        <v>74</v>
      </c>
      <c r="S160" s="5">
        <f>S11</f>
        <v>1.8434374999999999E-2</v>
      </c>
      <c r="T160" s="5" t="str">
        <f>R160</f>
        <v>Paper</v>
      </c>
      <c r="U160" s="5">
        <f>Q160*S160</f>
        <v>1.8434374999999999E-2</v>
      </c>
    </row>
    <row r="162" spans="2:21" ht="15.5" x14ac:dyDescent="0.35">
      <c r="B162" s="119" t="s">
        <v>150</v>
      </c>
      <c r="C162" s="120"/>
      <c r="D162" s="121"/>
      <c r="E162" s="122" t="s">
        <v>7</v>
      </c>
      <c r="F162" s="123"/>
      <c r="G162" s="30">
        <f>SUM(G166:G175)</f>
        <v>1.6180785133751527</v>
      </c>
      <c r="I162" s="119" t="s">
        <v>151</v>
      </c>
      <c r="J162" s="120"/>
      <c r="K162" s="121"/>
      <c r="L162" s="122" t="s">
        <v>7</v>
      </c>
      <c r="M162" s="123"/>
      <c r="N162" s="30">
        <f>SUM(N166:N175)</f>
        <v>2.068643026773588</v>
      </c>
      <c r="P162" s="119" t="s">
        <v>152</v>
      </c>
      <c r="Q162" s="120"/>
      <c r="R162" s="121"/>
      <c r="S162" s="122" t="s">
        <v>7</v>
      </c>
      <c r="T162" s="123"/>
      <c r="U162" s="30">
        <f>SUM(U166:U175)</f>
        <v>2.8751474253596134</v>
      </c>
    </row>
    <row r="163" spans="2:21" x14ac:dyDescent="0.35">
      <c r="B163" s="9"/>
      <c r="G163" s="8"/>
      <c r="I163" s="9"/>
      <c r="N163" s="8"/>
      <c r="P163" s="9"/>
      <c r="U163" s="8"/>
    </row>
    <row r="164" spans="2:21" x14ac:dyDescent="0.35">
      <c r="B164" s="10"/>
      <c r="C164" s="124" t="s">
        <v>13</v>
      </c>
      <c r="D164" s="125"/>
      <c r="E164" s="124" t="s">
        <v>14</v>
      </c>
      <c r="F164" s="125"/>
      <c r="G164" s="5" t="s">
        <v>6</v>
      </c>
      <c r="I164" s="10"/>
      <c r="J164" s="124" t="s">
        <v>13</v>
      </c>
      <c r="K164" s="125"/>
      <c r="L164" s="124" t="s">
        <v>14</v>
      </c>
      <c r="M164" s="125"/>
      <c r="N164" s="5" t="s">
        <v>6</v>
      </c>
      <c r="P164" s="10"/>
      <c r="Q164" s="124" t="s">
        <v>13</v>
      </c>
      <c r="R164" s="125"/>
      <c r="S164" s="124" t="s">
        <v>14</v>
      </c>
      <c r="T164" s="125"/>
      <c r="U164" s="5" t="s">
        <v>6</v>
      </c>
    </row>
    <row r="165" spans="2:21" x14ac:dyDescent="0.35">
      <c r="B165" s="5" t="s">
        <v>10</v>
      </c>
      <c r="C165" s="5" t="s">
        <v>2</v>
      </c>
      <c r="D165" s="5" t="s">
        <v>1</v>
      </c>
      <c r="E165" s="5" t="s">
        <v>11</v>
      </c>
      <c r="F165" s="5" t="s">
        <v>1</v>
      </c>
      <c r="G165" s="5" t="s">
        <v>15</v>
      </c>
      <c r="I165" s="5" t="s">
        <v>10</v>
      </c>
      <c r="J165" s="5" t="s">
        <v>2</v>
      </c>
      <c r="K165" s="5" t="s">
        <v>1</v>
      </c>
      <c r="L165" s="5" t="s">
        <v>11</v>
      </c>
      <c r="M165" s="5" t="s">
        <v>1</v>
      </c>
      <c r="N165" s="5" t="s">
        <v>15</v>
      </c>
      <c r="P165" s="5" t="s">
        <v>10</v>
      </c>
      <c r="Q165" s="5" t="s">
        <v>2</v>
      </c>
      <c r="R165" s="5" t="s">
        <v>1</v>
      </c>
      <c r="S165" s="5" t="s">
        <v>11</v>
      </c>
      <c r="T165" s="5" t="s">
        <v>1</v>
      </c>
      <c r="U165" s="5" t="s">
        <v>15</v>
      </c>
    </row>
    <row r="166" spans="2:21" x14ac:dyDescent="0.35">
      <c r="B166" s="7" t="s">
        <v>61</v>
      </c>
      <c r="C166" s="7">
        <f>C7</f>
        <v>14</v>
      </c>
      <c r="D166" s="7" t="s">
        <v>17</v>
      </c>
      <c r="E166" s="5">
        <f>E7</f>
        <v>3.3574516898448738E-2</v>
      </c>
      <c r="F166" s="5" t="str">
        <f>D166</f>
        <v>Oz</v>
      </c>
      <c r="G166" s="5">
        <f>C166*E166</f>
        <v>0.47004323657828234</v>
      </c>
      <c r="I166" s="7" t="s">
        <v>61</v>
      </c>
      <c r="J166" s="7">
        <f>J7</f>
        <v>14</v>
      </c>
      <c r="K166" s="7" t="s">
        <v>17</v>
      </c>
      <c r="L166" s="5">
        <f>L7</f>
        <v>3.3574516898448738E-2</v>
      </c>
      <c r="M166" s="5" t="str">
        <f>K166</f>
        <v>Oz</v>
      </c>
      <c r="N166" s="5">
        <f>J166*L166</f>
        <v>0.47004323657828234</v>
      </c>
      <c r="P166" s="7" t="s">
        <v>61</v>
      </c>
      <c r="Q166" s="7">
        <f>Q7</f>
        <v>22</v>
      </c>
      <c r="R166" s="7" t="s">
        <v>17</v>
      </c>
      <c r="S166" s="5">
        <f>S7</f>
        <v>3.3574516898448738E-2</v>
      </c>
      <c r="T166" s="5" t="str">
        <f>R166</f>
        <v>Oz</v>
      </c>
      <c r="U166" s="5">
        <f>Q166*S166</f>
        <v>0.73863937176587224</v>
      </c>
    </row>
    <row r="167" spans="2:21" x14ac:dyDescent="0.35">
      <c r="B167" s="7" t="s">
        <v>85</v>
      </c>
      <c r="C167" s="7">
        <f>C18</f>
        <v>1</v>
      </c>
      <c r="D167" s="7" t="s">
        <v>17</v>
      </c>
      <c r="E167" s="5">
        <f>E18</f>
        <v>0.16019152679687035</v>
      </c>
      <c r="F167" s="5" t="str">
        <f t="shared" ref="F167:F172" si="122">D167</f>
        <v>Oz</v>
      </c>
      <c r="G167" s="5">
        <f t="shared" ref="G167:G174" si="123">C167*E167</f>
        <v>0.16019152679687035</v>
      </c>
      <c r="I167" s="7" t="s">
        <v>85</v>
      </c>
      <c r="J167" s="7">
        <f>J18</f>
        <v>1.5</v>
      </c>
      <c r="K167" s="7" t="s">
        <v>17</v>
      </c>
      <c r="L167" s="5">
        <f>L18</f>
        <v>0.16019152679687035</v>
      </c>
      <c r="M167" s="5" t="str">
        <f t="shared" ref="M167:M172" si="124">K167</f>
        <v>Oz</v>
      </c>
      <c r="N167" s="5">
        <f t="shared" ref="N167:N172" si="125">J167*L167</f>
        <v>0.24028729019530554</v>
      </c>
      <c r="P167" s="7" t="s">
        <v>85</v>
      </c>
      <c r="Q167" s="7">
        <f>Q18</f>
        <v>2</v>
      </c>
      <c r="R167" s="7" t="s">
        <v>17</v>
      </c>
      <c r="S167" s="5">
        <f>S18</f>
        <v>0.16019152679687035</v>
      </c>
      <c r="T167" s="5" t="str">
        <f t="shared" ref="T167:T172" si="126">R167</f>
        <v>Oz</v>
      </c>
      <c r="U167" s="5">
        <f t="shared" ref="U167:U172" si="127">Q167*S167</f>
        <v>0.3203830535937407</v>
      </c>
    </row>
    <row r="168" spans="2:21" x14ac:dyDescent="0.35">
      <c r="B168" s="7" t="s">
        <v>22</v>
      </c>
      <c r="C168" s="7">
        <f>C9</f>
        <v>3.875</v>
      </c>
      <c r="D168" s="7" t="s">
        <v>17</v>
      </c>
      <c r="E168" s="5">
        <f>E38</f>
        <v>0.18312500000000001</v>
      </c>
      <c r="F168" s="5" t="str">
        <f t="shared" si="122"/>
        <v>Oz</v>
      </c>
      <c r="G168" s="5">
        <f t="shared" si="123"/>
        <v>0.70960937499999999</v>
      </c>
      <c r="I168" s="7" t="s">
        <v>22</v>
      </c>
      <c r="J168" s="7">
        <f>J9</f>
        <v>5.625</v>
      </c>
      <c r="K168" s="7" t="s">
        <v>17</v>
      </c>
      <c r="L168" s="5">
        <f>L38</f>
        <v>0.18312500000000001</v>
      </c>
      <c r="M168" s="5" t="str">
        <f t="shared" si="124"/>
        <v>Oz</v>
      </c>
      <c r="N168" s="5">
        <f t="shared" si="125"/>
        <v>1.030078125</v>
      </c>
      <c r="P168" s="7" t="s">
        <v>22</v>
      </c>
      <c r="Q168" s="7">
        <f>Q9</f>
        <v>8.125</v>
      </c>
      <c r="R168" s="7" t="s">
        <v>17</v>
      </c>
      <c r="S168" s="5">
        <f>S38</f>
        <v>0.18312500000000001</v>
      </c>
      <c r="T168" s="5" t="str">
        <f t="shared" si="126"/>
        <v>Oz</v>
      </c>
      <c r="U168" s="5">
        <f t="shared" si="127"/>
        <v>1.4878906250000001</v>
      </c>
    </row>
    <row r="169" spans="2:21" x14ac:dyDescent="0.35">
      <c r="B169" s="7" t="s">
        <v>324</v>
      </c>
      <c r="C169" s="7">
        <f>C34</f>
        <v>0</v>
      </c>
      <c r="D169" s="7" t="s">
        <v>17</v>
      </c>
      <c r="E169" s="5">
        <f>E34</f>
        <v>0.126546875</v>
      </c>
      <c r="F169" s="5" t="str">
        <f t="shared" si="122"/>
        <v>Oz</v>
      </c>
      <c r="G169" s="5">
        <f t="shared" si="123"/>
        <v>0</v>
      </c>
      <c r="I169" s="7" t="s">
        <v>324</v>
      </c>
      <c r="J169" s="7">
        <f>J34</f>
        <v>0</v>
      </c>
      <c r="K169" s="7" t="s">
        <v>17</v>
      </c>
      <c r="L169" s="5">
        <f>L34</f>
        <v>0.126546875</v>
      </c>
      <c r="M169" s="5" t="str">
        <f t="shared" si="124"/>
        <v>Oz</v>
      </c>
      <c r="N169" s="5">
        <f t="shared" si="125"/>
        <v>0</v>
      </c>
      <c r="P169" s="7" t="s">
        <v>324</v>
      </c>
      <c r="Q169" s="7">
        <f>Q34</f>
        <v>0</v>
      </c>
      <c r="R169" s="7" t="s">
        <v>17</v>
      </c>
      <c r="S169" s="5">
        <f>S34</f>
        <v>0.126546875</v>
      </c>
      <c r="T169" s="5" t="str">
        <f t="shared" si="126"/>
        <v>Oz</v>
      </c>
      <c r="U169" s="5">
        <f t="shared" si="127"/>
        <v>0</v>
      </c>
    </row>
    <row r="170" spans="2:21" x14ac:dyDescent="0.35">
      <c r="B170" s="7" t="s">
        <v>232</v>
      </c>
      <c r="C170" s="7">
        <f>C152</f>
        <v>0</v>
      </c>
      <c r="D170" s="7" t="s">
        <v>17</v>
      </c>
      <c r="E170" s="5">
        <f>E152</f>
        <v>7.2727272727272724E-2</v>
      </c>
      <c r="F170" s="5" t="str">
        <f t="shared" si="122"/>
        <v>Oz</v>
      </c>
      <c r="G170" s="5">
        <f t="shared" si="123"/>
        <v>0</v>
      </c>
      <c r="I170" s="7" t="s">
        <v>232</v>
      </c>
      <c r="J170" s="7">
        <f>J152</f>
        <v>0</v>
      </c>
      <c r="K170" s="7" t="s">
        <v>17</v>
      </c>
      <c r="L170" s="5">
        <f>E170</f>
        <v>7.2727272727272724E-2</v>
      </c>
      <c r="M170" s="5" t="str">
        <f t="shared" si="124"/>
        <v>Oz</v>
      </c>
      <c r="N170" s="5">
        <f t="shared" si="125"/>
        <v>0</v>
      </c>
      <c r="P170" s="7" t="s">
        <v>232</v>
      </c>
      <c r="Q170" s="7">
        <f>Q152</f>
        <v>0</v>
      </c>
      <c r="R170" s="7" t="s">
        <v>17</v>
      </c>
      <c r="S170" s="5">
        <f>L170</f>
        <v>7.2727272727272724E-2</v>
      </c>
      <c r="T170" s="5" t="str">
        <f t="shared" si="126"/>
        <v>Oz</v>
      </c>
      <c r="U170" s="5">
        <f t="shared" si="127"/>
        <v>0</v>
      </c>
    </row>
    <row r="171" spans="2:21" x14ac:dyDescent="0.35">
      <c r="B171" s="7" t="s">
        <v>233</v>
      </c>
      <c r="C171" s="7">
        <f>C153</f>
        <v>0</v>
      </c>
      <c r="D171" s="7" t="s">
        <v>17</v>
      </c>
      <c r="E171" s="5">
        <f>E153</f>
        <v>9.7537878787878798E-2</v>
      </c>
      <c r="F171" s="5" t="str">
        <f t="shared" si="122"/>
        <v>Oz</v>
      </c>
      <c r="G171" s="5"/>
      <c r="I171" s="7" t="s">
        <v>233</v>
      </c>
      <c r="J171" s="7">
        <f>J153</f>
        <v>0</v>
      </c>
      <c r="K171" s="7" t="s">
        <v>17</v>
      </c>
      <c r="L171" s="5">
        <f>E171</f>
        <v>9.7537878787878798E-2</v>
      </c>
      <c r="M171" s="5" t="str">
        <f t="shared" si="124"/>
        <v>Oz</v>
      </c>
      <c r="N171" s="5"/>
      <c r="P171" s="7" t="s">
        <v>233</v>
      </c>
      <c r="Q171" s="7">
        <f>Q153</f>
        <v>0</v>
      </c>
      <c r="R171" s="7" t="s">
        <v>17</v>
      </c>
      <c r="S171" s="5">
        <f>S153</f>
        <v>9.7537878787878798E-2</v>
      </c>
      <c r="T171" s="5" t="str">
        <f t="shared" si="126"/>
        <v>Oz</v>
      </c>
      <c r="U171" s="5"/>
    </row>
    <row r="172" spans="2:21" x14ac:dyDescent="0.35">
      <c r="B172" s="7" t="s">
        <v>104</v>
      </c>
      <c r="C172" s="7"/>
      <c r="D172" s="7" t="s">
        <v>17</v>
      </c>
      <c r="E172" s="5">
        <f>'Food Prices'!L23</f>
        <v>0.52083333333333337</v>
      </c>
      <c r="F172" s="5" t="str">
        <f t="shared" si="122"/>
        <v>Oz</v>
      </c>
      <c r="G172" s="5">
        <f t="shared" si="123"/>
        <v>0</v>
      </c>
      <c r="I172" s="7" t="s">
        <v>104</v>
      </c>
      <c r="J172" s="7"/>
      <c r="K172" s="7" t="s">
        <v>17</v>
      </c>
      <c r="L172" s="5">
        <f t="shared" ref="L172:L173" si="128">E172</f>
        <v>0.52083333333333337</v>
      </c>
      <c r="M172" s="5" t="str">
        <f t="shared" si="124"/>
        <v>Oz</v>
      </c>
      <c r="N172" s="5">
        <f t="shared" si="125"/>
        <v>0</v>
      </c>
      <c r="P172" s="7" t="s">
        <v>104</v>
      </c>
      <c r="Q172" s="7"/>
      <c r="R172" s="7" t="s">
        <v>17</v>
      </c>
      <c r="S172" s="5">
        <f t="shared" ref="S172:S173" si="129">L172</f>
        <v>0.52083333333333337</v>
      </c>
      <c r="T172" s="5" t="str">
        <f t="shared" si="126"/>
        <v>Oz</v>
      </c>
      <c r="U172" s="5">
        <f t="shared" si="127"/>
        <v>0</v>
      </c>
    </row>
    <row r="173" spans="2:21" x14ac:dyDescent="0.35">
      <c r="B173" s="7" t="s">
        <v>153</v>
      </c>
      <c r="C173" s="7"/>
      <c r="D173" s="7" t="s">
        <v>17</v>
      </c>
      <c r="E173" s="5">
        <f>Recipes!U16</f>
        <v>0.13376715555651317</v>
      </c>
      <c r="F173" s="5" t="str">
        <f>D173</f>
        <v>Oz</v>
      </c>
      <c r="G173" s="5">
        <f t="shared" si="123"/>
        <v>0</v>
      </c>
      <c r="I173" s="7" t="s">
        <v>153</v>
      </c>
      <c r="J173" s="7"/>
      <c r="K173" s="7" t="s">
        <v>17</v>
      </c>
      <c r="L173" s="5">
        <f t="shared" si="128"/>
        <v>0.13376715555651317</v>
      </c>
      <c r="M173" s="5" t="str">
        <f>K173</f>
        <v>Oz</v>
      </c>
      <c r="N173" s="5">
        <f>J173*L173</f>
        <v>0</v>
      </c>
      <c r="P173" s="7" t="s">
        <v>153</v>
      </c>
      <c r="Q173" s="7"/>
      <c r="R173" s="7" t="s">
        <v>17</v>
      </c>
      <c r="S173" s="5">
        <f t="shared" si="129"/>
        <v>0.13376715555651317</v>
      </c>
      <c r="T173" s="5" t="str">
        <f>R173</f>
        <v>Oz</v>
      </c>
      <c r="U173" s="5">
        <f>Q173*S173</f>
        <v>0</v>
      </c>
    </row>
    <row r="174" spans="2:21" x14ac:dyDescent="0.35">
      <c r="B174" s="7" t="s">
        <v>179</v>
      </c>
      <c r="C174" s="7">
        <v>1</v>
      </c>
      <c r="D174" s="7" t="s">
        <v>73</v>
      </c>
      <c r="E174" s="5">
        <f>E10</f>
        <v>0.25980000000000003</v>
      </c>
      <c r="F174" s="5" t="str">
        <f t="shared" ref="F174" si="130">D174</f>
        <v>Box</v>
      </c>
      <c r="G174" s="5">
        <f t="shared" si="123"/>
        <v>0.25980000000000003</v>
      </c>
      <c r="I174" s="7" t="s">
        <v>180</v>
      </c>
      <c r="J174" s="7">
        <v>1</v>
      </c>
      <c r="K174" s="7" t="s">
        <v>73</v>
      </c>
      <c r="L174" s="5">
        <f>L10</f>
        <v>0.30980000000000002</v>
      </c>
      <c r="M174" s="5" t="str">
        <f t="shared" ref="M174" si="131">K174</f>
        <v>Box</v>
      </c>
      <c r="N174" s="5">
        <f t="shared" ref="N174" si="132">J174*L174</f>
        <v>0.30980000000000002</v>
      </c>
      <c r="P174" s="7" t="s">
        <v>181</v>
      </c>
      <c r="Q174" s="7">
        <v>1</v>
      </c>
      <c r="R174" s="7" t="s">
        <v>73</v>
      </c>
      <c r="S174" s="5">
        <f>S10</f>
        <v>0.30980000000000002</v>
      </c>
      <c r="T174" s="5" t="str">
        <f t="shared" ref="T174" si="133">R174</f>
        <v>Box</v>
      </c>
      <c r="U174" s="5">
        <f t="shared" ref="U174" si="134">Q174*S174</f>
        <v>0.30980000000000002</v>
      </c>
    </row>
    <row r="175" spans="2:21" x14ac:dyDescent="0.35">
      <c r="B175" s="7" t="s">
        <v>130</v>
      </c>
      <c r="C175" s="7">
        <v>1</v>
      </c>
      <c r="D175" s="7" t="s">
        <v>74</v>
      </c>
      <c r="E175" s="5">
        <f>E11</f>
        <v>1.8434374999999999E-2</v>
      </c>
      <c r="F175" s="5" t="str">
        <f>D175</f>
        <v>Paper</v>
      </c>
      <c r="G175" s="5">
        <f>C175*E175</f>
        <v>1.8434374999999999E-2</v>
      </c>
      <c r="I175" s="7" t="s">
        <v>130</v>
      </c>
      <c r="J175" s="7">
        <v>1</v>
      </c>
      <c r="K175" s="7" t="s">
        <v>74</v>
      </c>
      <c r="L175" s="5">
        <f>L11</f>
        <v>1.8434374999999999E-2</v>
      </c>
      <c r="M175" s="5" t="str">
        <f>K175</f>
        <v>Paper</v>
      </c>
      <c r="N175" s="5">
        <f>J175*L175</f>
        <v>1.8434374999999999E-2</v>
      </c>
      <c r="P175" s="7" t="s">
        <v>130</v>
      </c>
      <c r="Q175" s="7">
        <v>1</v>
      </c>
      <c r="R175" s="7" t="s">
        <v>74</v>
      </c>
      <c r="S175" s="5">
        <f>S11</f>
        <v>1.8434374999999999E-2</v>
      </c>
      <c r="T175" s="5" t="str">
        <f>R175</f>
        <v>Paper</v>
      </c>
      <c r="U175" s="5">
        <f>Q175*S175</f>
        <v>1.8434374999999999E-2</v>
      </c>
    </row>
    <row r="177" spans="2:21" ht="15.5" x14ac:dyDescent="0.35">
      <c r="B177" s="128" t="s">
        <v>155</v>
      </c>
      <c r="C177" s="128"/>
      <c r="D177" s="128"/>
      <c r="E177" s="129" t="s">
        <v>7</v>
      </c>
      <c r="F177" s="129"/>
      <c r="G177" s="30">
        <f>SUM(G181:G188)</f>
        <v>3.3555041740782823</v>
      </c>
      <c r="I177" s="128" t="s">
        <v>156</v>
      </c>
      <c r="J177" s="128"/>
      <c r="K177" s="128"/>
      <c r="L177" s="129" t="s">
        <v>7</v>
      </c>
      <c r="M177" s="129"/>
      <c r="N177" s="30">
        <f>SUM(N181:N188)</f>
        <v>3.2584086517735882</v>
      </c>
      <c r="P177" s="128" t="s">
        <v>157</v>
      </c>
      <c r="Q177" s="128"/>
      <c r="R177" s="128"/>
      <c r="S177" s="129" t="s">
        <v>7</v>
      </c>
      <c r="T177" s="129"/>
      <c r="U177" s="30">
        <f>SUM(U181:U188)</f>
        <v>4.4726864878596135</v>
      </c>
    </row>
    <row r="178" spans="2:21" x14ac:dyDescent="0.35">
      <c r="B178" s="9"/>
      <c r="G178" s="8"/>
      <c r="I178" s="9"/>
      <c r="N178" s="8"/>
      <c r="P178" s="9"/>
      <c r="U178" s="8"/>
    </row>
    <row r="179" spans="2:21" x14ac:dyDescent="0.35">
      <c r="B179" s="10"/>
      <c r="C179" s="124" t="s">
        <v>13</v>
      </c>
      <c r="D179" s="125"/>
      <c r="E179" s="124" t="s">
        <v>14</v>
      </c>
      <c r="F179" s="125"/>
      <c r="G179" s="5" t="s">
        <v>6</v>
      </c>
      <c r="I179" s="10"/>
      <c r="J179" s="124" t="s">
        <v>13</v>
      </c>
      <c r="K179" s="125"/>
      <c r="L179" s="124" t="s">
        <v>14</v>
      </c>
      <c r="M179" s="125"/>
      <c r="N179" s="5" t="s">
        <v>6</v>
      </c>
      <c r="P179" s="10"/>
      <c r="Q179" s="124" t="s">
        <v>13</v>
      </c>
      <c r="R179" s="125"/>
      <c r="S179" s="124" t="s">
        <v>14</v>
      </c>
      <c r="T179" s="125"/>
      <c r="U179" s="5" t="s">
        <v>6</v>
      </c>
    </row>
    <row r="180" spans="2:21" x14ac:dyDescent="0.35">
      <c r="B180" s="5" t="s">
        <v>10</v>
      </c>
      <c r="C180" s="5" t="s">
        <v>2</v>
      </c>
      <c r="D180" s="5" t="s">
        <v>1</v>
      </c>
      <c r="E180" s="5" t="s">
        <v>11</v>
      </c>
      <c r="F180" s="5" t="s">
        <v>1</v>
      </c>
      <c r="G180" s="5" t="s">
        <v>15</v>
      </c>
      <c r="I180" s="5" t="s">
        <v>10</v>
      </c>
      <c r="J180" s="5" t="s">
        <v>2</v>
      </c>
      <c r="K180" s="5" t="s">
        <v>1</v>
      </c>
      <c r="L180" s="5" t="s">
        <v>11</v>
      </c>
      <c r="M180" s="5" t="s">
        <v>1</v>
      </c>
      <c r="N180" s="5" t="s">
        <v>15</v>
      </c>
      <c r="P180" s="5" t="s">
        <v>10</v>
      </c>
      <c r="Q180" s="5" t="s">
        <v>2</v>
      </c>
      <c r="R180" s="5" t="s">
        <v>1</v>
      </c>
      <c r="S180" s="5" t="s">
        <v>11</v>
      </c>
      <c r="T180" s="5" t="s">
        <v>1</v>
      </c>
      <c r="U180" s="5" t="s">
        <v>15</v>
      </c>
    </row>
    <row r="181" spans="2:21" x14ac:dyDescent="0.35">
      <c r="B181" s="7" t="s">
        <v>61</v>
      </c>
      <c r="C181" s="7">
        <f>C7</f>
        <v>14</v>
      </c>
      <c r="D181" s="7" t="s">
        <v>17</v>
      </c>
      <c r="E181" s="5">
        <f>E7</f>
        <v>3.3574516898448738E-2</v>
      </c>
      <c r="F181" s="5" t="str">
        <f>D181</f>
        <v>Oz</v>
      </c>
      <c r="G181" s="5">
        <f>C181*E181</f>
        <v>0.47004323657828234</v>
      </c>
      <c r="I181" s="7" t="s">
        <v>61</v>
      </c>
      <c r="J181" s="7">
        <f>J7</f>
        <v>14</v>
      </c>
      <c r="K181" s="7" t="s">
        <v>17</v>
      </c>
      <c r="L181" s="5">
        <f>L7</f>
        <v>3.3574516898448738E-2</v>
      </c>
      <c r="M181" s="5" t="str">
        <f>K181</f>
        <v>Oz</v>
      </c>
      <c r="N181" s="5">
        <f>J181*L181</f>
        <v>0.47004323657828234</v>
      </c>
      <c r="P181" s="7" t="s">
        <v>61</v>
      </c>
      <c r="Q181" s="7">
        <f>Q7</f>
        <v>22</v>
      </c>
      <c r="R181" s="7" t="s">
        <v>17</v>
      </c>
      <c r="S181" s="5">
        <f>S7</f>
        <v>3.3574516898448738E-2</v>
      </c>
      <c r="T181" s="5" t="str">
        <f>R181</f>
        <v>Oz</v>
      </c>
      <c r="U181" s="5">
        <f>Q181*S181</f>
        <v>0.73863937176587224</v>
      </c>
    </row>
    <row r="182" spans="2:21" x14ac:dyDescent="0.35">
      <c r="B182" s="7" t="s">
        <v>85</v>
      </c>
      <c r="C182" s="7">
        <f>C18</f>
        <v>1</v>
      </c>
      <c r="D182" s="7" t="s">
        <v>17</v>
      </c>
      <c r="E182" s="5">
        <f>C18</f>
        <v>1</v>
      </c>
      <c r="F182" s="5" t="str">
        <f t="shared" ref="F182:F187" si="135">D182</f>
        <v>Oz</v>
      </c>
      <c r="G182" s="5">
        <f t="shared" ref="G182:G187" si="136">C182*E182</f>
        <v>1</v>
      </c>
      <c r="I182" s="7" t="s">
        <v>85</v>
      </c>
      <c r="J182" s="7">
        <f>J18</f>
        <v>1.5</v>
      </c>
      <c r="K182" s="7" t="s">
        <v>17</v>
      </c>
      <c r="L182" s="5">
        <f>L18</f>
        <v>0.16019152679687035</v>
      </c>
      <c r="M182" s="5" t="str">
        <f t="shared" ref="M182:M187" si="137">K182</f>
        <v>Oz</v>
      </c>
      <c r="N182" s="5">
        <f t="shared" ref="N182:N187" si="138">J182*L182</f>
        <v>0.24028729019530554</v>
      </c>
      <c r="P182" s="7" t="s">
        <v>85</v>
      </c>
      <c r="Q182" s="7">
        <f>Q18</f>
        <v>2</v>
      </c>
      <c r="R182" s="7" t="s">
        <v>17</v>
      </c>
      <c r="S182" s="5">
        <f>S18</f>
        <v>0.16019152679687035</v>
      </c>
      <c r="T182" s="5" t="str">
        <f t="shared" ref="T182:T187" si="139">R182</f>
        <v>Oz</v>
      </c>
      <c r="U182" s="5">
        <f t="shared" ref="U182:U187" si="140">Q182*S182</f>
        <v>0.3203830535937407</v>
      </c>
    </row>
    <row r="183" spans="2:21" x14ac:dyDescent="0.35">
      <c r="B183" s="7" t="s">
        <v>22</v>
      </c>
      <c r="C183" s="7">
        <f>C9</f>
        <v>3.875</v>
      </c>
      <c r="D183" s="7" t="s">
        <v>17</v>
      </c>
      <c r="E183" s="5">
        <f>E38</f>
        <v>0.18312500000000001</v>
      </c>
      <c r="F183" s="5" t="str">
        <f t="shared" si="135"/>
        <v>Oz</v>
      </c>
      <c r="G183" s="5">
        <f t="shared" si="136"/>
        <v>0.70960937499999999</v>
      </c>
      <c r="I183" s="7" t="s">
        <v>22</v>
      </c>
      <c r="J183" s="7">
        <f>J9</f>
        <v>5.625</v>
      </c>
      <c r="K183" s="7" t="s">
        <v>17</v>
      </c>
      <c r="L183" s="5">
        <f>L38</f>
        <v>0.18312500000000001</v>
      </c>
      <c r="M183" s="5" t="str">
        <f t="shared" si="137"/>
        <v>Oz</v>
      </c>
      <c r="N183" s="5">
        <f t="shared" si="138"/>
        <v>1.030078125</v>
      </c>
      <c r="P183" s="7" t="s">
        <v>22</v>
      </c>
      <c r="Q183" s="7">
        <f>Q9</f>
        <v>8.125</v>
      </c>
      <c r="R183" s="7" t="s">
        <v>17</v>
      </c>
      <c r="S183" s="5">
        <f>S38</f>
        <v>0.18312500000000001</v>
      </c>
      <c r="T183" s="5" t="str">
        <f t="shared" si="139"/>
        <v>Oz</v>
      </c>
      <c r="U183" s="5">
        <f t="shared" si="140"/>
        <v>1.4878906250000001</v>
      </c>
    </row>
    <row r="184" spans="2:21" x14ac:dyDescent="0.35">
      <c r="B184" s="7" t="s">
        <v>82</v>
      </c>
      <c r="C184" s="7">
        <f>C39</f>
        <v>2.75</v>
      </c>
      <c r="D184" s="7" t="s">
        <v>17</v>
      </c>
      <c r="E184" s="5">
        <f>E39</f>
        <v>0.15625</v>
      </c>
      <c r="F184" s="5" t="str">
        <f t="shared" si="135"/>
        <v>Oz</v>
      </c>
      <c r="G184" s="5">
        <f t="shared" si="136"/>
        <v>0.4296875</v>
      </c>
      <c r="I184" s="7" t="s">
        <v>82</v>
      </c>
      <c r="J184" s="7">
        <f>J39</f>
        <v>3.625</v>
      </c>
      <c r="K184" s="7" t="s">
        <v>17</v>
      </c>
      <c r="L184" s="5">
        <f>L39</f>
        <v>0.15625</v>
      </c>
      <c r="M184" s="5" t="str">
        <f t="shared" si="137"/>
        <v>Oz</v>
      </c>
      <c r="N184" s="5">
        <f t="shared" si="138"/>
        <v>0.56640625</v>
      </c>
      <c r="P184" s="7" t="s">
        <v>82</v>
      </c>
      <c r="Q184" s="7">
        <f>Q39</f>
        <v>5</v>
      </c>
      <c r="R184" s="7" t="s">
        <v>17</v>
      </c>
      <c r="S184" s="5">
        <f>S39</f>
        <v>0.15625</v>
      </c>
      <c r="T184" s="5" t="str">
        <f t="shared" si="139"/>
        <v>Oz</v>
      </c>
      <c r="U184" s="5">
        <f t="shared" si="140"/>
        <v>0.78125</v>
      </c>
    </row>
    <row r="185" spans="2:21" x14ac:dyDescent="0.35">
      <c r="B185" s="7" t="s">
        <v>154</v>
      </c>
      <c r="C185" s="7">
        <f>C49</f>
        <v>4.625</v>
      </c>
      <c r="D185" s="7" t="s">
        <v>17</v>
      </c>
      <c r="E185" s="5">
        <f>E49</f>
        <v>0.1</v>
      </c>
      <c r="F185" s="5" t="str">
        <f t="shared" ref="F185:F186" si="141">D185</f>
        <v>Oz</v>
      </c>
      <c r="G185" s="5">
        <f t="shared" ref="G185:G186" si="142">C185*E185</f>
        <v>0.46250000000000002</v>
      </c>
      <c r="I185" s="7" t="s">
        <v>154</v>
      </c>
      <c r="J185" s="7">
        <f>J49</f>
        <v>6.125</v>
      </c>
      <c r="K185" s="7" t="s">
        <v>17</v>
      </c>
      <c r="L185" s="5">
        <f>L49</f>
        <v>0.1</v>
      </c>
      <c r="M185" s="5" t="str">
        <f t="shared" ref="M185:M186" si="143">K185</f>
        <v>Oz</v>
      </c>
      <c r="N185" s="5">
        <f t="shared" ref="N185:N186" si="144">J185*L185</f>
        <v>0.61250000000000004</v>
      </c>
      <c r="P185" s="7" t="s">
        <v>154</v>
      </c>
      <c r="Q185" s="7">
        <f>Q49</f>
        <v>8</v>
      </c>
      <c r="R185" s="7" t="s">
        <v>17</v>
      </c>
      <c r="S185" s="5">
        <f>S49</f>
        <v>0.1</v>
      </c>
      <c r="T185" s="5" t="str">
        <f t="shared" ref="T185:T186" si="145">R185</f>
        <v>Oz</v>
      </c>
      <c r="U185" s="5">
        <f t="shared" ref="U185:U186" si="146">Q185*S185</f>
        <v>0.8</v>
      </c>
    </row>
    <row r="186" spans="2:21" x14ac:dyDescent="0.35">
      <c r="B186" s="7" t="s">
        <v>108</v>
      </c>
      <c r="C186" s="7">
        <f>C52</f>
        <v>0.125</v>
      </c>
      <c r="D186" s="7" t="s">
        <v>17</v>
      </c>
      <c r="E186" s="5">
        <f>E52</f>
        <v>4.3437499999999997E-2</v>
      </c>
      <c r="F186" s="5" t="str">
        <f t="shared" si="141"/>
        <v>Oz</v>
      </c>
      <c r="G186" s="5">
        <f t="shared" si="142"/>
        <v>5.4296874999999996E-3</v>
      </c>
      <c r="I186" s="7" t="s">
        <v>108</v>
      </c>
      <c r="J186" s="7">
        <f>J52</f>
        <v>0.25</v>
      </c>
      <c r="K186" s="7" t="s">
        <v>17</v>
      </c>
      <c r="L186" s="5">
        <f>L52</f>
        <v>4.3437499999999997E-2</v>
      </c>
      <c r="M186" s="5" t="str">
        <f t="shared" si="143"/>
        <v>Oz</v>
      </c>
      <c r="N186" s="5">
        <f t="shared" si="144"/>
        <v>1.0859374999999999E-2</v>
      </c>
      <c r="P186" s="7" t="s">
        <v>108</v>
      </c>
      <c r="Q186" s="7">
        <f>Q52</f>
        <v>0.375</v>
      </c>
      <c r="R186" s="7" t="s">
        <v>17</v>
      </c>
      <c r="S186" s="5">
        <f>S52</f>
        <v>4.3437499999999997E-2</v>
      </c>
      <c r="T186" s="5" t="str">
        <f t="shared" si="145"/>
        <v>Oz</v>
      </c>
      <c r="U186" s="5">
        <f t="shared" si="146"/>
        <v>1.62890625E-2</v>
      </c>
    </row>
    <row r="187" spans="2:21" x14ac:dyDescent="0.35">
      <c r="B187" s="7" t="s">
        <v>179</v>
      </c>
      <c r="C187" s="7">
        <v>1</v>
      </c>
      <c r="D187" s="7" t="s">
        <v>73</v>
      </c>
      <c r="E187" s="5">
        <f>E10</f>
        <v>0.25980000000000003</v>
      </c>
      <c r="F187" s="5" t="str">
        <f t="shared" si="135"/>
        <v>Box</v>
      </c>
      <c r="G187" s="5">
        <f t="shared" si="136"/>
        <v>0.25980000000000003</v>
      </c>
      <c r="I187" s="7" t="s">
        <v>180</v>
      </c>
      <c r="J187" s="7">
        <v>1</v>
      </c>
      <c r="K187" s="7" t="s">
        <v>73</v>
      </c>
      <c r="L187" s="5">
        <f>L10</f>
        <v>0.30980000000000002</v>
      </c>
      <c r="M187" s="5" t="str">
        <f t="shared" si="137"/>
        <v>Box</v>
      </c>
      <c r="N187" s="5">
        <f t="shared" si="138"/>
        <v>0.30980000000000002</v>
      </c>
      <c r="P187" s="7" t="s">
        <v>181</v>
      </c>
      <c r="Q187" s="7">
        <v>1</v>
      </c>
      <c r="R187" s="7" t="s">
        <v>73</v>
      </c>
      <c r="S187" s="5">
        <f>S10</f>
        <v>0.30980000000000002</v>
      </c>
      <c r="T187" s="5" t="str">
        <f t="shared" si="139"/>
        <v>Box</v>
      </c>
      <c r="U187" s="5">
        <f t="shared" si="140"/>
        <v>0.30980000000000002</v>
      </c>
    </row>
    <row r="188" spans="2:21" x14ac:dyDescent="0.35">
      <c r="B188" s="7" t="s">
        <v>130</v>
      </c>
      <c r="C188" s="7">
        <v>1</v>
      </c>
      <c r="D188" s="7" t="s">
        <v>74</v>
      </c>
      <c r="E188" s="5">
        <f>E11</f>
        <v>1.8434374999999999E-2</v>
      </c>
      <c r="F188" s="5" t="str">
        <f>D188</f>
        <v>Paper</v>
      </c>
      <c r="G188" s="5">
        <f>C188*E188</f>
        <v>1.8434374999999999E-2</v>
      </c>
      <c r="I188" s="7" t="s">
        <v>130</v>
      </c>
      <c r="J188" s="7">
        <v>1</v>
      </c>
      <c r="K188" s="7" t="s">
        <v>74</v>
      </c>
      <c r="L188" s="5">
        <f>L11</f>
        <v>1.8434374999999999E-2</v>
      </c>
      <c r="M188" s="5" t="str">
        <f>K188</f>
        <v>Paper</v>
      </c>
      <c r="N188" s="5">
        <f>J188*L188</f>
        <v>1.8434374999999999E-2</v>
      </c>
      <c r="P188" s="7" t="s">
        <v>130</v>
      </c>
      <c r="Q188" s="7">
        <v>1</v>
      </c>
      <c r="R188" s="7" t="s">
        <v>74</v>
      </c>
      <c r="S188" s="5">
        <f>S11</f>
        <v>1.8434374999999999E-2</v>
      </c>
      <c r="T188" s="5" t="str">
        <f>R188</f>
        <v>Paper</v>
      </c>
      <c r="U188" s="5">
        <f>Q188*S188</f>
        <v>1.8434374999999999E-2</v>
      </c>
    </row>
    <row r="190" spans="2:21" ht="15.5" x14ac:dyDescent="0.35">
      <c r="B190" s="128" t="s">
        <v>158</v>
      </c>
      <c r="C190" s="128"/>
      <c r="D190" s="128"/>
      <c r="E190" s="129" t="s">
        <v>7</v>
      </c>
      <c r="F190" s="129"/>
      <c r="G190" s="30">
        <f>SUM(G194:G201)</f>
        <v>1.4578869865782824</v>
      </c>
      <c r="I190" s="128" t="s">
        <v>159</v>
      </c>
      <c r="J190" s="128"/>
      <c r="K190" s="128"/>
      <c r="L190" s="129" t="s">
        <v>7</v>
      </c>
      <c r="M190" s="129"/>
      <c r="N190" s="30">
        <f>SUM(N194:N201)</f>
        <v>1.8283557365782823</v>
      </c>
      <c r="P190" s="128" t="s">
        <v>160</v>
      </c>
      <c r="Q190" s="128"/>
      <c r="R190" s="128"/>
      <c r="S190" s="129" t="s">
        <v>7</v>
      </c>
      <c r="T190" s="129"/>
      <c r="U190" s="30">
        <f>SUM(U194:U201)</f>
        <v>2.5547643717658723</v>
      </c>
    </row>
    <row r="191" spans="2:21" x14ac:dyDescent="0.35">
      <c r="B191" s="9"/>
      <c r="G191" s="8"/>
      <c r="I191" s="9"/>
      <c r="N191" s="8"/>
      <c r="P191" s="9"/>
      <c r="U191" s="8"/>
    </row>
    <row r="192" spans="2:21" x14ac:dyDescent="0.35">
      <c r="B192" s="10"/>
      <c r="C192" s="124" t="s">
        <v>13</v>
      </c>
      <c r="D192" s="125"/>
      <c r="E192" s="124" t="s">
        <v>14</v>
      </c>
      <c r="F192" s="125"/>
      <c r="G192" s="5" t="s">
        <v>6</v>
      </c>
      <c r="I192" s="10"/>
      <c r="J192" s="124" t="s">
        <v>13</v>
      </c>
      <c r="K192" s="125"/>
      <c r="L192" s="124" t="s">
        <v>14</v>
      </c>
      <c r="M192" s="125"/>
      <c r="N192" s="5" t="s">
        <v>6</v>
      </c>
      <c r="P192" s="10"/>
      <c r="Q192" s="124" t="s">
        <v>13</v>
      </c>
      <c r="R192" s="125"/>
      <c r="S192" s="124" t="s">
        <v>14</v>
      </c>
      <c r="T192" s="125"/>
      <c r="U192" s="5" t="s">
        <v>6</v>
      </c>
    </row>
    <row r="193" spans="2:21" x14ac:dyDescent="0.35">
      <c r="B193" s="5" t="s">
        <v>10</v>
      </c>
      <c r="C193" s="5" t="s">
        <v>2</v>
      </c>
      <c r="D193" s="5" t="s">
        <v>1</v>
      </c>
      <c r="E193" s="5" t="s">
        <v>11</v>
      </c>
      <c r="F193" s="5" t="s">
        <v>1</v>
      </c>
      <c r="G193" s="5" t="s">
        <v>15</v>
      </c>
      <c r="I193" s="5" t="s">
        <v>10</v>
      </c>
      <c r="J193" s="5" t="s">
        <v>2</v>
      </c>
      <c r="K193" s="5" t="s">
        <v>1</v>
      </c>
      <c r="L193" s="5" t="s">
        <v>11</v>
      </c>
      <c r="M193" s="5" t="s">
        <v>1</v>
      </c>
      <c r="N193" s="5" t="s">
        <v>15</v>
      </c>
      <c r="P193" s="5" t="s">
        <v>10</v>
      </c>
      <c r="Q193" s="5" t="s">
        <v>2</v>
      </c>
      <c r="R193" s="5" t="s">
        <v>1</v>
      </c>
      <c r="S193" s="5" t="s">
        <v>11</v>
      </c>
      <c r="T193" s="5" t="s">
        <v>1</v>
      </c>
      <c r="U193" s="5" t="s">
        <v>15</v>
      </c>
    </row>
    <row r="194" spans="2:21" x14ac:dyDescent="0.35">
      <c r="B194" s="7" t="s">
        <v>61</v>
      </c>
      <c r="C194" s="7">
        <f>C7</f>
        <v>14</v>
      </c>
      <c r="D194" s="7" t="s">
        <v>17</v>
      </c>
      <c r="E194" s="5">
        <f>E7</f>
        <v>3.3574516898448738E-2</v>
      </c>
      <c r="F194" s="5" t="str">
        <f>D194</f>
        <v>Oz</v>
      </c>
      <c r="G194" s="5">
        <f>C194*E194</f>
        <v>0.47004323657828234</v>
      </c>
      <c r="I194" s="7" t="s">
        <v>61</v>
      </c>
      <c r="J194" s="7">
        <f>J7</f>
        <v>14</v>
      </c>
      <c r="K194" s="7" t="s">
        <v>17</v>
      </c>
      <c r="L194" s="5">
        <f>L7</f>
        <v>3.3574516898448738E-2</v>
      </c>
      <c r="M194" s="5" t="str">
        <f>K194</f>
        <v>Oz</v>
      </c>
      <c r="N194" s="5">
        <f>J194*L194</f>
        <v>0.47004323657828234</v>
      </c>
      <c r="P194" s="7" t="s">
        <v>61</v>
      </c>
      <c r="Q194" s="7">
        <f>Q7</f>
        <v>22</v>
      </c>
      <c r="R194" s="7" t="s">
        <v>17</v>
      </c>
      <c r="S194" s="5">
        <f>S7</f>
        <v>3.3574516898448738E-2</v>
      </c>
      <c r="T194" s="5" t="str">
        <f>R194</f>
        <v>Oz</v>
      </c>
      <c r="U194" s="5">
        <f>Q194*S194</f>
        <v>0.73863937176587224</v>
      </c>
    </row>
    <row r="195" spans="2:21" x14ac:dyDescent="0.35">
      <c r="B195" s="7" t="s">
        <v>48</v>
      </c>
      <c r="C195" s="7"/>
      <c r="D195" s="7" t="s">
        <v>17</v>
      </c>
      <c r="E195" s="5">
        <f>'Food Prices'!L95</f>
        <v>0.10251953125</v>
      </c>
      <c r="F195" s="5" t="str">
        <f t="shared" ref="F195:F200" si="147">D195</f>
        <v>Oz</v>
      </c>
      <c r="G195" s="5">
        <f t="shared" ref="G195:G200" si="148">C195*E195</f>
        <v>0</v>
      </c>
      <c r="I195" s="7" t="s">
        <v>48</v>
      </c>
      <c r="J195" s="7"/>
      <c r="K195" s="7" t="s">
        <v>17</v>
      </c>
      <c r="L195" s="5">
        <f>E195</f>
        <v>0.10251953125</v>
      </c>
      <c r="M195" s="5" t="str">
        <f t="shared" ref="M195:M200" si="149">K195</f>
        <v>Oz</v>
      </c>
      <c r="N195" s="5">
        <f t="shared" ref="N195:N200" si="150">J195*L195</f>
        <v>0</v>
      </c>
      <c r="P195" s="7" t="s">
        <v>48</v>
      </c>
      <c r="Q195" s="7"/>
      <c r="R195" s="7" t="s">
        <v>17</v>
      </c>
      <c r="S195" s="5">
        <f>L195</f>
        <v>0.10251953125</v>
      </c>
      <c r="T195" s="5" t="str">
        <f t="shared" ref="T195:T200" si="151">R195</f>
        <v>Oz</v>
      </c>
      <c r="U195" s="5">
        <f t="shared" ref="U195:U200" si="152">Q195*S195</f>
        <v>0</v>
      </c>
    </row>
    <row r="196" spans="2:21" x14ac:dyDescent="0.35">
      <c r="B196" s="7" t="s">
        <v>22</v>
      </c>
      <c r="C196" s="7">
        <f>C9</f>
        <v>3.875</v>
      </c>
      <c r="D196" s="7" t="s">
        <v>17</v>
      </c>
      <c r="E196" s="5">
        <f>E38</f>
        <v>0.18312500000000001</v>
      </c>
      <c r="F196" s="5" t="str">
        <f t="shared" si="147"/>
        <v>Oz</v>
      </c>
      <c r="G196" s="5">
        <f t="shared" si="148"/>
        <v>0.70960937499999999</v>
      </c>
      <c r="I196" s="7" t="s">
        <v>22</v>
      </c>
      <c r="J196" s="7">
        <f>J9</f>
        <v>5.625</v>
      </c>
      <c r="K196" s="7" t="s">
        <v>17</v>
      </c>
      <c r="L196" s="5">
        <f>L38</f>
        <v>0.18312500000000001</v>
      </c>
      <c r="M196" s="5" t="str">
        <f t="shared" si="149"/>
        <v>Oz</v>
      </c>
      <c r="N196" s="5">
        <f t="shared" si="150"/>
        <v>1.030078125</v>
      </c>
      <c r="P196" s="7" t="s">
        <v>22</v>
      </c>
      <c r="Q196" s="7">
        <f>Q9</f>
        <v>8.125</v>
      </c>
      <c r="R196" s="7" t="s">
        <v>17</v>
      </c>
      <c r="S196" s="5">
        <f>S38</f>
        <v>0.18312500000000001</v>
      </c>
      <c r="T196" s="5" t="str">
        <f t="shared" si="151"/>
        <v>Oz</v>
      </c>
      <c r="U196" s="5">
        <f t="shared" si="152"/>
        <v>1.4878906250000001</v>
      </c>
    </row>
    <row r="197" spans="2:21" x14ac:dyDescent="0.35">
      <c r="B197" s="7" t="s">
        <v>324</v>
      </c>
      <c r="C197" s="7">
        <f>C34</f>
        <v>0</v>
      </c>
      <c r="D197" s="7" t="s">
        <v>17</v>
      </c>
      <c r="E197" s="5">
        <f>E34</f>
        <v>0.126546875</v>
      </c>
      <c r="F197" s="5" t="str">
        <f t="shared" si="147"/>
        <v>Oz</v>
      </c>
      <c r="G197" s="5">
        <f t="shared" si="148"/>
        <v>0</v>
      </c>
      <c r="I197" s="7" t="s">
        <v>324</v>
      </c>
      <c r="J197" s="7">
        <f>J34</f>
        <v>0</v>
      </c>
      <c r="K197" s="7" t="s">
        <v>17</v>
      </c>
      <c r="L197" s="5">
        <f>L34</f>
        <v>0.126546875</v>
      </c>
      <c r="M197" s="5" t="str">
        <f t="shared" si="149"/>
        <v>Oz</v>
      </c>
      <c r="N197" s="5">
        <f t="shared" si="150"/>
        <v>0</v>
      </c>
      <c r="P197" s="7" t="s">
        <v>324</v>
      </c>
      <c r="Q197" s="7">
        <f>Q34</f>
        <v>0</v>
      </c>
      <c r="R197" s="7" t="s">
        <v>17</v>
      </c>
      <c r="S197" s="5">
        <f>S34</f>
        <v>0.126546875</v>
      </c>
      <c r="T197" s="5" t="str">
        <f t="shared" si="151"/>
        <v>Oz</v>
      </c>
      <c r="U197" s="5">
        <f t="shared" si="152"/>
        <v>0</v>
      </c>
    </row>
    <row r="198" spans="2:21" x14ac:dyDescent="0.35">
      <c r="B198" s="7" t="s">
        <v>161</v>
      </c>
      <c r="C198" s="7"/>
      <c r="D198" s="7" t="s">
        <v>17</v>
      </c>
      <c r="E198" s="5">
        <f>E195</f>
        <v>0.10251953125</v>
      </c>
      <c r="F198" s="5" t="str">
        <f t="shared" si="147"/>
        <v>Oz</v>
      </c>
      <c r="G198" s="5">
        <f t="shared" si="148"/>
        <v>0</v>
      </c>
      <c r="I198" s="7" t="s">
        <v>161</v>
      </c>
      <c r="J198" s="7"/>
      <c r="K198" s="7" t="s">
        <v>17</v>
      </c>
      <c r="L198" s="5">
        <f>E198</f>
        <v>0.10251953125</v>
      </c>
      <c r="M198" s="5" t="str">
        <f t="shared" si="149"/>
        <v>Oz</v>
      </c>
      <c r="N198" s="5">
        <f t="shared" si="150"/>
        <v>0</v>
      </c>
      <c r="P198" s="7" t="s">
        <v>161</v>
      </c>
      <c r="Q198" s="7"/>
      <c r="R198" s="7" t="s">
        <v>17</v>
      </c>
      <c r="S198" s="5">
        <f>L198</f>
        <v>0.10251953125</v>
      </c>
      <c r="T198" s="5" t="str">
        <f t="shared" si="151"/>
        <v>Oz</v>
      </c>
      <c r="U198" s="5">
        <f t="shared" si="152"/>
        <v>0</v>
      </c>
    </row>
    <row r="199" spans="2:21" x14ac:dyDescent="0.35">
      <c r="B199" s="7" t="s">
        <v>49</v>
      </c>
      <c r="C199" s="7"/>
      <c r="D199" s="7" t="s">
        <v>17</v>
      </c>
      <c r="E199" s="5">
        <f>'Food Prices'!L30</f>
        <v>0.12798828125</v>
      </c>
      <c r="F199" s="5" t="str">
        <f t="shared" si="147"/>
        <v>Oz</v>
      </c>
      <c r="G199" s="5">
        <f t="shared" si="148"/>
        <v>0</v>
      </c>
      <c r="I199" s="7" t="s">
        <v>49</v>
      </c>
      <c r="J199" s="7"/>
      <c r="K199" s="7" t="s">
        <v>17</v>
      </c>
      <c r="L199" s="5">
        <f>E199</f>
        <v>0.12798828125</v>
      </c>
      <c r="M199" s="5" t="str">
        <f t="shared" si="149"/>
        <v>Oz</v>
      </c>
      <c r="N199" s="5">
        <f t="shared" si="150"/>
        <v>0</v>
      </c>
      <c r="P199" s="7" t="s">
        <v>49</v>
      </c>
      <c r="Q199" s="7"/>
      <c r="R199" s="7" t="s">
        <v>17</v>
      </c>
      <c r="S199" s="5">
        <f>L199</f>
        <v>0.12798828125</v>
      </c>
      <c r="T199" s="5" t="str">
        <f t="shared" si="151"/>
        <v>Oz</v>
      </c>
      <c r="U199" s="5">
        <f t="shared" si="152"/>
        <v>0</v>
      </c>
    </row>
    <row r="200" spans="2:21" x14ac:dyDescent="0.35">
      <c r="B200" s="7" t="s">
        <v>179</v>
      </c>
      <c r="C200" s="7">
        <v>1</v>
      </c>
      <c r="D200" s="7" t="s">
        <v>73</v>
      </c>
      <c r="E200" s="5">
        <f>E10</f>
        <v>0.25980000000000003</v>
      </c>
      <c r="F200" s="5" t="str">
        <f t="shared" si="147"/>
        <v>Box</v>
      </c>
      <c r="G200" s="5">
        <f t="shared" si="148"/>
        <v>0.25980000000000003</v>
      </c>
      <c r="I200" s="7" t="s">
        <v>180</v>
      </c>
      <c r="J200" s="7">
        <v>1</v>
      </c>
      <c r="K200" s="7" t="s">
        <v>73</v>
      </c>
      <c r="L200" s="5">
        <f>L10</f>
        <v>0.30980000000000002</v>
      </c>
      <c r="M200" s="5" t="str">
        <f t="shared" si="149"/>
        <v>Box</v>
      </c>
      <c r="N200" s="5">
        <f t="shared" si="150"/>
        <v>0.30980000000000002</v>
      </c>
      <c r="P200" s="7" t="s">
        <v>181</v>
      </c>
      <c r="Q200" s="7">
        <v>1</v>
      </c>
      <c r="R200" s="7" t="s">
        <v>73</v>
      </c>
      <c r="S200" s="5">
        <f>S10</f>
        <v>0.30980000000000002</v>
      </c>
      <c r="T200" s="5" t="str">
        <f t="shared" si="151"/>
        <v>Box</v>
      </c>
      <c r="U200" s="5">
        <f t="shared" si="152"/>
        <v>0.30980000000000002</v>
      </c>
    </row>
    <row r="201" spans="2:21" x14ac:dyDescent="0.35">
      <c r="B201" s="7" t="s">
        <v>130</v>
      </c>
      <c r="C201" s="7">
        <v>1</v>
      </c>
      <c r="D201" s="7" t="s">
        <v>74</v>
      </c>
      <c r="E201" s="5">
        <f>E11</f>
        <v>1.8434374999999999E-2</v>
      </c>
      <c r="F201" s="5" t="str">
        <f>D201</f>
        <v>Paper</v>
      </c>
      <c r="G201" s="5">
        <f>C201*E201</f>
        <v>1.8434374999999999E-2</v>
      </c>
      <c r="I201" s="7" t="s">
        <v>130</v>
      </c>
      <c r="J201" s="7">
        <v>1</v>
      </c>
      <c r="K201" s="7" t="s">
        <v>74</v>
      </c>
      <c r="L201" s="5">
        <f>L11</f>
        <v>1.8434374999999999E-2</v>
      </c>
      <c r="M201" s="5" t="str">
        <f>K201</f>
        <v>Paper</v>
      </c>
      <c r="N201" s="5">
        <f>J201*L201</f>
        <v>1.8434374999999999E-2</v>
      </c>
      <c r="P201" s="7" t="s">
        <v>130</v>
      </c>
      <c r="Q201" s="7">
        <v>1</v>
      </c>
      <c r="R201" s="7" t="s">
        <v>74</v>
      </c>
      <c r="S201" s="5">
        <f>S11</f>
        <v>1.8434374999999999E-2</v>
      </c>
      <c r="T201" s="5" t="str">
        <f>R201</f>
        <v>Paper</v>
      </c>
      <c r="U201" s="5">
        <f>Q201*S201</f>
        <v>1.8434374999999999E-2</v>
      </c>
    </row>
    <row r="203" spans="2:21" ht="15.5" x14ac:dyDescent="0.35">
      <c r="B203" s="119" t="s">
        <v>162</v>
      </c>
      <c r="C203" s="120"/>
      <c r="D203" s="121"/>
      <c r="E203" s="122" t="s">
        <v>7</v>
      </c>
      <c r="F203" s="123"/>
      <c r="G203" s="30">
        <f>SUM(G207:G215)</f>
        <v>2.9879026115782823</v>
      </c>
      <c r="I203" s="119" t="s">
        <v>163</v>
      </c>
      <c r="J203" s="120"/>
      <c r="K203" s="121"/>
      <c r="L203" s="122" t="s">
        <v>7</v>
      </c>
      <c r="M203" s="123"/>
      <c r="N203" s="30">
        <f>SUM(N207:N215)</f>
        <v>4.1464651115782818</v>
      </c>
      <c r="P203" s="119" t="s">
        <v>168</v>
      </c>
      <c r="Q203" s="120"/>
      <c r="R203" s="121"/>
      <c r="S203" s="122" t="s">
        <v>7</v>
      </c>
      <c r="T203" s="123"/>
      <c r="U203" s="30">
        <f>SUM(U207:U215)</f>
        <v>5.478623746765872</v>
      </c>
    </row>
    <row r="204" spans="2:21" x14ac:dyDescent="0.35">
      <c r="B204" s="9"/>
      <c r="G204" s="8"/>
      <c r="I204" s="9"/>
      <c r="N204" s="8"/>
      <c r="P204" s="9"/>
      <c r="U204" s="8"/>
    </row>
    <row r="205" spans="2:21" x14ac:dyDescent="0.35">
      <c r="B205" s="10"/>
      <c r="C205" s="124" t="s">
        <v>13</v>
      </c>
      <c r="D205" s="125"/>
      <c r="E205" s="124" t="s">
        <v>14</v>
      </c>
      <c r="F205" s="125"/>
      <c r="G205" s="5" t="s">
        <v>6</v>
      </c>
      <c r="I205" s="10"/>
      <c r="J205" s="124" t="s">
        <v>13</v>
      </c>
      <c r="K205" s="125"/>
      <c r="L205" s="124" t="s">
        <v>14</v>
      </c>
      <c r="M205" s="125"/>
      <c r="N205" s="5" t="s">
        <v>6</v>
      </c>
      <c r="P205" s="10"/>
      <c r="Q205" s="124" t="s">
        <v>13</v>
      </c>
      <c r="R205" s="125"/>
      <c r="S205" s="124" t="s">
        <v>14</v>
      </c>
      <c r="T205" s="125"/>
      <c r="U205" s="5" t="s">
        <v>6</v>
      </c>
    </row>
    <row r="206" spans="2:21" x14ac:dyDescent="0.35">
      <c r="B206" s="5" t="s">
        <v>10</v>
      </c>
      <c r="C206" s="5" t="s">
        <v>2</v>
      </c>
      <c r="D206" s="5" t="s">
        <v>1</v>
      </c>
      <c r="E206" s="5" t="s">
        <v>11</v>
      </c>
      <c r="F206" s="5" t="s">
        <v>1</v>
      </c>
      <c r="G206" s="5" t="s">
        <v>15</v>
      </c>
      <c r="I206" s="5" t="s">
        <v>10</v>
      </c>
      <c r="J206" s="5" t="s">
        <v>2</v>
      </c>
      <c r="K206" s="5" t="s">
        <v>1</v>
      </c>
      <c r="L206" s="5" t="s">
        <v>11</v>
      </c>
      <c r="M206" s="5" t="s">
        <v>1</v>
      </c>
      <c r="N206" s="5" t="s">
        <v>15</v>
      </c>
      <c r="P206" s="5" t="s">
        <v>10</v>
      </c>
      <c r="Q206" s="5" t="s">
        <v>2</v>
      </c>
      <c r="R206" s="5" t="s">
        <v>1</v>
      </c>
      <c r="S206" s="5" t="s">
        <v>11</v>
      </c>
      <c r="T206" s="5" t="s">
        <v>1</v>
      </c>
      <c r="U206" s="5" t="s">
        <v>15</v>
      </c>
    </row>
    <row r="207" spans="2:21" x14ac:dyDescent="0.35">
      <c r="B207" s="7" t="s">
        <v>61</v>
      </c>
      <c r="C207" s="7">
        <f>C7</f>
        <v>14</v>
      </c>
      <c r="D207" s="7" t="s">
        <v>17</v>
      </c>
      <c r="E207" s="5">
        <f>E7</f>
        <v>3.3574516898448738E-2</v>
      </c>
      <c r="F207" s="5" t="str">
        <f>D207</f>
        <v>Oz</v>
      </c>
      <c r="G207" s="5">
        <f>C207*E207</f>
        <v>0.47004323657828234</v>
      </c>
      <c r="I207" s="7" t="s">
        <v>61</v>
      </c>
      <c r="J207" s="7">
        <f>J7</f>
        <v>14</v>
      </c>
      <c r="K207" s="7" t="s">
        <v>17</v>
      </c>
      <c r="L207" s="5">
        <f>L7</f>
        <v>3.3574516898448738E-2</v>
      </c>
      <c r="M207" s="5" t="str">
        <f>K207</f>
        <v>Oz</v>
      </c>
      <c r="N207" s="5">
        <f>J207*L207</f>
        <v>0.47004323657828234</v>
      </c>
      <c r="P207" s="7" t="s">
        <v>61</v>
      </c>
      <c r="Q207" s="7">
        <f>Q7</f>
        <v>22</v>
      </c>
      <c r="R207" s="7" t="s">
        <v>17</v>
      </c>
      <c r="S207" s="5">
        <f>S7</f>
        <v>3.3574516898448738E-2</v>
      </c>
      <c r="T207" s="5" t="str">
        <f>R207</f>
        <v>Oz</v>
      </c>
      <c r="U207" s="5">
        <f>Q207*S207</f>
        <v>0.73863937176587224</v>
      </c>
    </row>
    <row r="208" spans="2:21" x14ac:dyDescent="0.35">
      <c r="B208" s="7" t="s">
        <v>164</v>
      </c>
      <c r="C208" s="7"/>
      <c r="D208" s="7" t="s">
        <v>17</v>
      </c>
      <c r="E208" s="5">
        <f>'Food Prices'!L12</f>
        <v>0.1171875</v>
      </c>
      <c r="F208" s="5" t="str">
        <f t="shared" ref="F208:F213" si="153">D208</f>
        <v>Oz</v>
      </c>
      <c r="G208" s="5">
        <f t="shared" ref="G208:G214" si="154">C208*E208</f>
        <v>0</v>
      </c>
      <c r="I208" s="7" t="s">
        <v>164</v>
      </c>
      <c r="J208" s="7"/>
      <c r="K208" s="7" t="s">
        <v>17</v>
      </c>
      <c r="L208" s="5">
        <f>E208</f>
        <v>0.1171875</v>
      </c>
      <c r="M208" s="5" t="str">
        <f t="shared" ref="M208:M213" si="155">K208</f>
        <v>Oz</v>
      </c>
      <c r="N208" s="5">
        <f t="shared" ref="N208:N213" si="156">J208*L208</f>
        <v>0</v>
      </c>
      <c r="P208" s="7" t="s">
        <v>164</v>
      </c>
      <c r="Q208" s="7"/>
      <c r="R208" s="7" t="s">
        <v>17</v>
      </c>
      <c r="S208" s="5">
        <f>L208</f>
        <v>0.1171875</v>
      </c>
      <c r="T208" s="5" t="str">
        <f t="shared" ref="T208:T213" si="157">R208</f>
        <v>Oz</v>
      </c>
      <c r="U208" s="5">
        <f t="shared" ref="U208:U213" si="158">Q208*S208</f>
        <v>0</v>
      </c>
    </row>
    <row r="209" spans="2:21" x14ac:dyDescent="0.35">
      <c r="B209" s="7" t="s">
        <v>165</v>
      </c>
      <c r="C209" s="7"/>
      <c r="D209" s="7" t="s">
        <v>17</v>
      </c>
      <c r="E209" s="5">
        <f>'Food Prices'!L20</f>
        <v>0.15625</v>
      </c>
      <c r="F209" s="5" t="str">
        <f t="shared" si="153"/>
        <v>Oz</v>
      </c>
      <c r="G209" s="5">
        <f t="shared" si="154"/>
        <v>0</v>
      </c>
      <c r="I209" s="7" t="s">
        <v>165</v>
      </c>
      <c r="J209" s="7"/>
      <c r="K209" s="7" t="s">
        <v>17</v>
      </c>
      <c r="L209" s="5">
        <f>E209</f>
        <v>0.15625</v>
      </c>
      <c r="M209" s="5" t="str">
        <f t="shared" si="155"/>
        <v>Oz</v>
      </c>
      <c r="N209" s="5">
        <f t="shared" si="156"/>
        <v>0</v>
      </c>
      <c r="P209" s="7" t="s">
        <v>165</v>
      </c>
      <c r="Q209" s="7"/>
      <c r="R209" s="7" t="s">
        <v>17</v>
      </c>
      <c r="S209" s="5">
        <f>L209</f>
        <v>0.15625</v>
      </c>
      <c r="T209" s="5" t="str">
        <f t="shared" si="157"/>
        <v>Oz</v>
      </c>
      <c r="U209" s="5">
        <f t="shared" si="158"/>
        <v>0</v>
      </c>
    </row>
    <row r="210" spans="2:21" x14ac:dyDescent="0.35">
      <c r="B210" s="7" t="s">
        <v>98</v>
      </c>
      <c r="C210" s="7">
        <f>C37</f>
        <v>1</v>
      </c>
      <c r="D210" s="7" t="s">
        <v>226</v>
      </c>
      <c r="E210" s="5">
        <f>E37</f>
        <v>1.9321249999999999</v>
      </c>
      <c r="F210" s="5" t="str">
        <f t="shared" si="153"/>
        <v>Patty</v>
      </c>
      <c r="G210" s="5">
        <f t="shared" si="154"/>
        <v>1.9321249999999999</v>
      </c>
      <c r="I210" s="7" t="s">
        <v>98</v>
      </c>
      <c r="J210" s="7">
        <f>J37</f>
        <v>1.5</v>
      </c>
      <c r="K210" s="7" t="s">
        <v>226</v>
      </c>
      <c r="L210" s="5">
        <f>L37</f>
        <v>1.9321249999999999</v>
      </c>
      <c r="M210" s="5" t="str">
        <f t="shared" si="155"/>
        <v>Patty</v>
      </c>
      <c r="N210" s="5">
        <f t="shared" si="156"/>
        <v>2.8981874999999997</v>
      </c>
      <c r="P210" s="7" t="s">
        <v>98</v>
      </c>
      <c r="Q210" s="7">
        <f>Q37</f>
        <v>2</v>
      </c>
      <c r="R210" s="7" t="s">
        <v>226</v>
      </c>
      <c r="S210" s="5">
        <f>S37</f>
        <v>1.9321249999999999</v>
      </c>
      <c r="T210" s="5" t="str">
        <f t="shared" si="157"/>
        <v>Patty</v>
      </c>
      <c r="U210" s="5">
        <f t="shared" si="158"/>
        <v>3.8642499999999997</v>
      </c>
    </row>
    <row r="211" spans="2:21" x14ac:dyDescent="0.35">
      <c r="B211" s="7" t="s">
        <v>144</v>
      </c>
      <c r="C211" s="7"/>
      <c r="D211" s="7" t="s">
        <v>17</v>
      </c>
      <c r="E211" s="5"/>
      <c r="F211" s="5" t="str">
        <f t="shared" si="153"/>
        <v>Oz</v>
      </c>
      <c r="G211" s="5">
        <f t="shared" si="154"/>
        <v>0</v>
      </c>
      <c r="I211" s="7" t="s">
        <v>144</v>
      </c>
      <c r="J211" s="7"/>
      <c r="K211" s="7" t="s">
        <v>17</v>
      </c>
      <c r="L211" s="5">
        <f>E211</f>
        <v>0</v>
      </c>
      <c r="M211" s="5" t="str">
        <f t="shared" si="155"/>
        <v>Oz</v>
      </c>
      <c r="N211" s="5">
        <f t="shared" si="156"/>
        <v>0</v>
      </c>
      <c r="P211" s="7" t="s">
        <v>144</v>
      </c>
      <c r="Q211" s="7"/>
      <c r="R211" s="7" t="s">
        <v>17</v>
      </c>
      <c r="S211" s="5">
        <f>L211</f>
        <v>0</v>
      </c>
      <c r="T211" s="5" t="str">
        <f t="shared" si="157"/>
        <v>Oz</v>
      </c>
      <c r="U211" s="5">
        <f t="shared" si="158"/>
        <v>0</v>
      </c>
    </row>
    <row r="212" spans="2:21" x14ac:dyDescent="0.35">
      <c r="B212" s="7" t="s">
        <v>145</v>
      </c>
      <c r="C212" s="7">
        <f>C50</f>
        <v>5.125</v>
      </c>
      <c r="D212" s="7" t="s">
        <v>17</v>
      </c>
      <c r="E212" s="5">
        <f>E50</f>
        <v>0.06</v>
      </c>
      <c r="F212" s="5" t="str">
        <f t="shared" si="153"/>
        <v>Oz</v>
      </c>
      <c r="G212" s="5">
        <f t="shared" si="154"/>
        <v>0.3075</v>
      </c>
      <c r="I212" s="7" t="s">
        <v>145</v>
      </c>
      <c r="J212" s="7">
        <f>J50</f>
        <v>7.5</v>
      </c>
      <c r="K212" s="7" t="s">
        <v>17</v>
      </c>
      <c r="L212" s="5">
        <f>L50</f>
        <v>0.06</v>
      </c>
      <c r="M212" s="5" t="str">
        <f t="shared" si="155"/>
        <v>Oz</v>
      </c>
      <c r="N212" s="5">
        <f t="shared" si="156"/>
        <v>0.44999999999999996</v>
      </c>
      <c r="P212" s="7" t="s">
        <v>145</v>
      </c>
      <c r="Q212" s="7">
        <f>Q50</f>
        <v>9.125</v>
      </c>
      <c r="R212" s="7" t="s">
        <v>17</v>
      </c>
      <c r="S212" s="5">
        <f>S50</f>
        <v>0.06</v>
      </c>
      <c r="T212" s="5" t="str">
        <f t="shared" si="157"/>
        <v>Oz</v>
      </c>
      <c r="U212" s="5">
        <f t="shared" si="158"/>
        <v>0.54749999999999999</v>
      </c>
    </row>
    <row r="213" spans="2:21" x14ac:dyDescent="0.35">
      <c r="B213" s="7" t="s">
        <v>146</v>
      </c>
      <c r="C213" s="7"/>
      <c r="D213" s="7" t="s">
        <v>17</v>
      </c>
      <c r="E213" s="5">
        <f>'Food Prices'!L89</f>
        <v>8.7187500000000001E-2</v>
      </c>
      <c r="F213" s="5" t="str">
        <f t="shared" si="153"/>
        <v>Oz</v>
      </c>
      <c r="G213" s="5">
        <f t="shared" si="154"/>
        <v>0</v>
      </c>
      <c r="I213" s="7" t="s">
        <v>146</v>
      </c>
      <c r="J213" s="7"/>
      <c r="K213" s="7" t="s">
        <v>17</v>
      </c>
      <c r="L213" s="5">
        <f>E213</f>
        <v>8.7187500000000001E-2</v>
      </c>
      <c r="M213" s="5" t="str">
        <f t="shared" si="155"/>
        <v>Oz</v>
      </c>
      <c r="N213" s="5">
        <f t="shared" si="156"/>
        <v>0</v>
      </c>
      <c r="P213" s="7" t="s">
        <v>146</v>
      </c>
      <c r="Q213" s="7"/>
      <c r="R213" s="7" t="s">
        <v>17</v>
      </c>
      <c r="S213" s="5">
        <f>L213</f>
        <v>8.7187500000000001E-2</v>
      </c>
      <c r="T213" s="5" t="str">
        <f t="shared" si="157"/>
        <v>Oz</v>
      </c>
      <c r="U213" s="5">
        <f t="shared" si="158"/>
        <v>0</v>
      </c>
    </row>
    <row r="214" spans="2:21" x14ac:dyDescent="0.35">
      <c r="B214" s="7" t="s">
        <v>179</v>
      </c>
      <c r="C214" s="7">
        <v>1</v>
      </c>
      <c r="D214" s="7" t="s">
        <v>73</v>
      </c>
      <c r="E214" s="5">
        <f>E10</f>
        <v>0.25980000000000003</v>
      </c>
      <c r="F214" s="5" t="str">
        <f t="shared" ref="F214" si="159">D214</f>
        <v>Box</v>
      </c>
      <c r="G214" s="5">
        <f t="shared" si="154"/>
        <v>0.25980000000000003</v>
      </c>
      <c r="I214" s="7" t="s">
        <v>180</v>
      </c>
      <c r="J214" s="7">
        <v>1</v>
      </c>
      <c r="K214" s="7" t="s">
        <v>73</v>
      </c>
      <c r="L214" s="5">
        <f>L10</f>
        <v>0.30980000000000002</v>
      </c>
      <c r="M214" s="5" t="str">
        <f t="shared" ref="M214" si="160">K214</f>
        <v>Box</v>
      </c>
      <c r="N214" s="5">
        <f t="shared" ref="N214" si="161">J214*L214</f>
        <v>0.30980000000000002</v>
      </c>
      <c r="P214" s="7" t="s">
        <v>181</v>
      </c>
      <c r="Q214" s="7">
        <v>1</v>
      </c>
      <c r="R214" s="7" t="s">
        <v>73</v>
      </c>
      <c r="S214" s="5">
        <f>S10</f>
        <v>0.30980000000000002</v>
      </c>
      <c r="T214" s="5" t="str">
        <f t="shared" ref="T214" si="162">R214</f>
        <v>Box</v>
      </c>
      <c r="U214" s="5">
        <f t="shared" ref="U214" si="163">Q214*S214</f>
        <v>0.30980000000000002</v>
      </c>
    </row>
    <row r="215" spans="2:21" x14ac:dyDescent="0.35">
      <c r="B215" s="7" t="s">
        <v>130</v>
      </c>
      <c r="C215" s="7">
        <v>1</v>
      </c>
      <c r="D215" s="7" t="s">
        <v>74</v>
      </c>
      <c r="E215" s="5">
        <f>E11</f>
        <v>1.8434374999999999E-2</v>
      </c>
      <c r="F215" s="5" t="str">
        <f>D215</f>
        <v>Paper</v>
      </c>
      <c r="G215" s="5">
        <f>C215*E215</f>
        <v>1.8434374999999999E-2</v>
      </c>
      <c r="I215" s="7" t="s">
        <v>130</v>
      </c>
      <c r="J215" s="7">
        <v>1</v>
      </c>
      <c r="K215" s="7" t="s">
        <v>74</v>
      </c>
      <c r="L215" s="5">
        <f>L11</f>
        <v>1.8434374999999999E-2</v>
      </c>
      <c r="M215" s="5" t="str">
        <f>K215</f>
        <v>Paper</v>
      </c>
      <c r="N215" s="5">
        <f>J215*L215</f>
        <v>1.8434374999999999E-2</v>
      </c>
      <c r="P215" s="7" t="s">
        <v>130</v>
      </c>
      <c r="Q215" s="7">
        <v>1</v>
      </c>
      <c r="R215" s="7" t="s">
        <v>74</v>
      </c>
      <c r="S215" s="5">
        <f>S11</f>
        <v>1.8434374999999999E-2</v>
      </c>
      <c r="T215" s="5" t="str">
        <f>R215</f>
        <v>Paper</v>
      </c>
      <c r="U215" s="5">
        <f>Q215*S215</f>
        <v>1.8434374999999999E-2</v>
      </c>
    </row>
    <row r="217" spans="2:21" ht="15.5" x14ac:dyDescent="0.35">
      <c r="B217" s="119" t="s">
        <v>166</v>
      </c>
      <c r="C217" s="120"/>
      <c r="D217" s="121"/>
      <c r="E217" s="122" t="s">
        <v>7</v>
      </c>
      <c r="F217" s="123"/>
      <c r="G217" s="30">
        <f>SUM(G221:G227)</f>
        <v>2.5789807365782824</v>
      </c>
      <c r="I217" s="119" t="s">
        <v>167</v>
      </c>
      <c r="J217" s="120"/>
      <c r="K217" s="121"/>
      <c r="L217" s="122" t="s">
        <v>7</v>
      </c>
      <c r="M217" s="123"/>
      <c r="N217" s="30">
        <f>SUM(N221:N227)</f>
        <v>3.6857776115782821</v>
      </c>
      <c r="P217" s="119" t="s">
        <v>169</v>
      </c>
      <c r="Q217" s="120"/>
      <c r="R217" s="121"/>
      <c r="S217" s="122" t="s">
        <v>7</v>
      </c>
      <c r="T217" s="123"/>
      <c r="U217" s="30">
        <f>SUM(U221:U227)</f>
        <v>5.0186315592658728</v>
      </c>
    </row>
    <row r="218" spans="2:21" x14ac:dyDescent="0.35">
      <c r="B218" s="9"/>
      <c r="G218" s="8"/>
      <c r="I218" s="9"/>
      <c r="N218" s="8"/>
      <c r="P218" s="9"/>
      <c r="U218" s="8"/>
    </row>
    <row r="219" spans="2:21" x14ac:dyDescent="0.35">
      <c r="B219" s="10"/>
      <c r="C219" s="124" t="s">
        <v>13</v>
      </c>
      <c r="D219" s="125"/>
      <c r="E219" s="124" t="s">
        <v>14</v>
      </c>
      <c r="F219" s="125"/>
      <c r="G219" s="5" t="s">
        <v>6</v>
      </c>
      <c r="I219" s="10"/>
      <c r="J219" s="124" t="s">
        <v>13</v>
      </c>
      <c r="K219" s="125"/>
      <c r="L219" s="124" t="s">
        <v>14</v>
      </c>
      <c r="M219" s="125"/>
      <c r="N219" s="5" t="s">
        <v>6</v>
      </c>
      <c r="P219" s="10"/>
      <c r="Q219" s="124" t="s">
        <v>13</v>
      </c>
      <c r="R219" s="125"/>
      <c r="S219" s="124" t="s">
        <v>14</v>
      </c>
      <c r="T219" s="125"/>
      <c r="U219" s="5" t="s">
        <v>6</v>
      </c>
    </row>
    <row r="220" spans="2:21" x14ac:dyDescent="0.35">
      <c r="B220" s="5" t="s">
        <v>10</v>
      </c>
      <c r="C220" s="5" t="s">
        <v>2</v>
      </c>
      <c r="D220" s="5" t="s">
        <v>1</v>
      </c>
      <c r="E220" s="5" t="s">
        <v>11</v>
      </c>
      <c r="F220" s="5" t="s">
        <v>1</v>
      </c>
      <c r="G220" s="5" t="s">
        <v>15</v>
      </c>
      <c r="I220" s="5" t="s">
        <v>10</v>
      </c>
      <c r="J220" s="5" t="s">
        <v>2</v>
      </c>
      <c r="K220" s="5" t="s">
        <v>1</v>
      </c>
      <c r="L220" s="5" t="s">
        <v>11</v>
      </c>
      <c r="M220" s="5" t="s">
        <v>1</v>
      </c>
      <c r="N220" s="5" t="s">
        <v>15</v>
      </c>
      <c r="P220" s="5" t="s">
        <v>10</v>
      </c>
      <c r="Q220" s="5" t="s">
        <v>2</v>
      </c>
      <c r="R220" s="5" t="s">
        <v>1</v>
      </c>
      <c r="S220" s="5" t="s">
        <v>11</v>
      </c>
      <c r="T220" s="5" t="s">
        <v>1</v>
      </c>
      <c r="U220" s="5" t="s">
        <v>15</v>
      </c>
    </row>
    <row r="221" spans="2:21" x14ac:dyDescent="0.35">
      <c r="B221" s="7" t="s">
        <v>61</v>
      </c>
      <c r="C221" s="7">
        <f>C7</f>
        <v>14</v>
      </c>
      <c r="D221" s="7" t="s">
        <v>17</v>
      </c>
      <c r="E221" s="5">
        <f>E7</f>
        <v>3.3574516898448738E-2</v>
      </c>
      <c r="F221" s="5" t="str">
        <f>D221</f>
        <v>Oz</v>
      </c>
      <c r="G221" s="5">
        <f>C221*E221</f>
        <v>0.47004323657828234</v>
      </c>
      <c r="I221" s="7" t="s">
        <v>61</v>
      </c>
      <c r="J221" s="7">
        <f>J7</f>
        <v>14</v>
      </c>
      <c r="K221" s="7" t="s">
        <v>17</v>
      </c>
      <c r="L221" s="5">
        <f>L7</f>
        <v>3.3574516898448738E-2</v>
      </c>
      <c r="M221" s="5" t="str">
        <f>K221</f>
        <v>Oz</v>
      </c>
      <c r="N221" s="5">
        <f>J221*L221</f>
        <v>0.47004323657828234</v>
      </c>
      <c r="P221" s="7" t="s">
        <v>61</v>
      </c>
      <c r="Q221" s="7">
        <f>Q7</f>
        <v>22</v>
      </c>
      <c r="R221" s="7" t="s">
        <v>17</v>
      </c>
      <c r="S221" s="5">
        <f>S7</f>
        <v>3.3574516898448738E-2</v>
      </c>
      <c r="T221" s="5" t="str">
        <f>R221</f>
        <v>Oz</v>
      </c>
      <c r="U221" s="5">
        <f>Q221*S221</f>
        <v>0.73863937176587224</v>
      </c>
    </row>
    <row r="222" spans="2:21" x14ac:dyDescent="0.35">
      <c r="B222" s="7" t="s">
        <v>22</v>
      </c>
      <c r="C222" s="7">
        <f>C9</f>
        <v>3.875</v>
      </c>
      <c r="D222" s="7" t="s">
        <v>17</v>
      </c>
      <c r="E222" s="5">
        <f>E38</f>
        <v>0.18312500000000001</v>
      </c>
      <c r="F222" s="5" t="str">
        <f t="shared" ref="F222:F226" si="164">D222</f>
        <v>Oz</v>
      </c>
      <c r="G222" s="5">
        <f t="shared" ref="G222:G226" si="165">C222*E222</f>
        <v>0.70960937499999999</v>
      </c>
      <c r="I222" s="7" t="s">
        <v>22</v>
      </c>
      <c r="J222" s="7">
        <f>J9</f>
        <v>5.625</v>
      </c>
      <c r="K222" s="7" t="s">
        <v>17</v>
      </c>
      <c r="L222" s="5">
        <f>L38</f>
        <v>0.18312500000000001</v>
      </c>
      <c r="M222" s="5" t="str">
        <f t="shared" ref="M222:M226" si="166">K222</f>
        <v>Oz</v>
      </c>
      <c r="N222" s="5">
        <f t="shared" ref="N222:N226" si="167">J222*L222</f>
        <v>1.030078125</v>
      </c>
      <c r="P222" s="7" t="s">
        <v>22</v>
      </c>
      <c r="Q222" s="7">
        <f>Q9</f>
        <v>8.125</v>
      </c>
      <c r="R222" s="7" t="s">
        <v>17</v>
      </c>
      <c r="S222" s="5">
        <f>S38</f>
        <v>0.18312500000000001</v>
      </c>
      <c r="T222" s="5" t="str">
        <f t="shared" ref="T222:T226" si="168">R222</f>
        <v>Oz</v>
      </c>
      <c r="U222" s="5">
        <f t="shared" ref="U222:U226" si="169">Q222*S222</f>
        <v>1.4878906250000001</v>
      </c>
    </row>
    <row r="223" spans="2:21" x14ac:dyDescent="0.35">
      <c r="B223" s="7" t="s">
        <v>324</v>
      </c>
      <c r="C223" s="7">
        <f>C34</f>
        <v>0</v>
      </c>
      <c r="D223" s="7" t="s">
        <v>17</v>
      </c>
      <c r="E223" s="5">
        <f>E34</f>
        <v>0.126546875</v>
      </c>
      <c r="F223" s="5" t="str">
        <f t="shared" si="164"/>
        <v>Oz</v>
      </c>
      <c r="G223" s="5">
        <f t="shared" si="165"/>
        <v>0</v>
      </c>
      <c r="I223" s="7" t="s">
        <v>324</v>
      </c>
      <c r="J223" s="7">
        <f>J34</f>
        <v>0</v>
      </c>
      <c r="K223" s="7" t="s">
        <v>17</v>
      </c>
      <c r="L223" s="5">
        <f>L34</f>
        <v>0.126546875</v>
      </c>
      <c r="M223" s="5" t="str">
        <f t="shared" si="166"/>
        <v>Oz</v>
      </c>
      <c r="N223" s="5">
        <f t="shared" si="167"/>
        <v>0</v>
      </c>
      <c r="P223" s="7" t="s">
        <v>324</v>
      </c>
      <c r="Q223" s="7">
        <f>Q34</f>
        <v>0</v>
      </c>
      <c r="R223" s="7" t="s">
        <v>17</v>
      </c>
      <c r="S223" s="5">
        <f>S34</f>
        <v>0.126546875</v>
      </c>
      <c r="T223" s="5" t="str">
        <f t="shared" si="168"/>
        <v>Oz</v>
      </c>
      <c r="U223" s="5">
        <f t="shared" si="169"/>
        <v>0</v>
      </c>
    </row>
    <row r="224" spans="2:21" x14ac:dyDescent="0.35">
      <c r="B224" s="7" t="s">
        <v>28</v>
      </c>
      <c r="C224" s="7">
        <f>C30</f>
        <v>2</v>
      </c>
      <c r="D224" s="7" t="s">
        <v>17</v>
      </c>
      <c r="E224" s="5">
        <f>E30</f>
        <v>0.46875</v>
      </c>
      <c r="F224" s="5" t="str">
        <f t="shared" si="164"/>
        <v>Oz</v>
      </c>
      <c r="G224" s="5">
        <f t="shared" si="165"/>
        <v>0.9375</v>
      </c>
      <c r="I224" s="7" t="s">
        <v>28</v>
      </c>
      <c r="J224" s="7">
        <f>J30</f>
        <v>3.375</v>
      </c>
      <c r="K224" s="7" t="s">
        <v>17</v>
      </c>
      <c r="L224" s="5">
        <f>L30</f>
        <v>0.46875</v>
      </c>
      <c r="M224" s="5" t="str">
        <f t="shared" si="166"/>
        <v>Oz</v>
      </c>
      <c r="N224" s="5">
        <f t="shared" si="167"/>
        <v>1.58203125</v>
      </c>
      <c r="P224" s="7" t="s">
        <v>28</v>
      </c>
      <c r="Q224" s="7">
        <f>Q30</f>
        <v>4.375</v>
      </c>
      <c r="R224" s="7" t="s">
        <v>17</v>
      </c>
      <c r="S224" s="5">
        <f>S30</f>
        <v>0.46875</v>
      </c>
      <c r="T224" s="5" t="str">
        <f t="shared" si="168"/>
        <v>Oz</v>
      </c>
      <c r="U224" s="5">
        <f t="shared" si="169"/>
        <v>2.05078125</v>
      </c>
    </row>
    <row r="225" spans="2:21" x14ac:dyDescent="0.35">
      <c r="B225" s="7" t="s">
        <v>44</v>
      </c>
      <c r="C225" s="7">
        <v>2</v>
      </c>
      <c r="D225" s="7" t="s">
        <v>416</v>
      </c>
      <c r="E225" s="5">
        <f>'Food Prices'!L39</f>
        <v>9.1796875E-2</v>
      </c>
      <c r="F225" s="5" t="str">
        <f t="shared" si="164"/>
        <v>Fluid Oz</v>
      </c>
      <c r="G225" s="5">
        <f t="shared" si="165"/>
        <v>0.18359375</v>
      </c>
      <c r="I225" s="7" t="s">
        <v>44</v>
      </c>
      <c r="J225" s="7">
        <v>3</v>
      </c>
      <c r="K225" s="7" t="s">
        <v>416</v>
      </c>
      <c r="L225" s="5">
        <f>E225</f>
        <v>9.1796875E-2</v>
      </c>
      <c r="M225" s="5" t="str">
        <f t="shared" si="166"/>
        <v>Fluid Oz</v>
      </c>
      <c r="N225" s="5">
        <f t="shared" si="167"/>
        <v>0.275390625</v>
      </c>
      <c r="P225" s="7" t="s">
        <v>44</v>
      </c>
      <c r="Q225" s="7">
        <v>4.5</v>
      </c>
      <c r="R225" s="7" t="s">
        <v>416</v>
      </c>
      <c r="S225" s="5">
        <f>L225</f>
        <v>9.1796875E-2</v>
      </c>
      <c r="T225" s="5" t="str">
        <f t="shared" si="168"/>
        <v>Fluid Oz</v>
      </c>
      <c r="U225" s="5">
        <f t="shared" si="169"/>
        <v>0.4130859375</v>
      </c>
    </row>
    <row r="226" spans="2:21" x14ac:dyDescent="0.35">
      <c r="B226" s="7" t="s">
        <v>179</v>
      </c>
      <c r="C226" s="7">
        <v>1</v>
      </c>
      <c r="D226" s="7" t="s">
        <v>73</v>
      </c>
      <c r="E226" s="5">
        <f>E10</f>
        <v>0.25980000000000003</v>
      </c>
      <c r="F226" s="5" t="str">
        <f t="shared" si="164"/>
        <v>Box</v>
      </c>
      <c r="G226" s="5">
        <f t="shared" si="165"/>
        <v>0.25980000000000003</v>
      </c>
      <c r="I226" s="7" t="s">
        <v>180</v>
      </c>
      <c r="J226" s="7">
        <v>1</v>
      </c>
      <c r="K226" s="7" t="s">
        <v>73</v>
      </c>
      <c r="L226" s="5">
        <f>L10</f>
        <v>0.30980000000000002</v>
      </c>
      <c r="M226" s="5" t="str">
        <f t="shared" si="166"/>
        <v>Box</v>
      </c>
      <c r="N226" s="5">
        <f t="shared" si="167"/>
        <v>0.30980000000000002</v>
      </c>
      <c r="P226" s="7" t="s">
        <v>181</v>
      </c>
      <c r="Q226" s="7">
        <v>1</v>
      </c>
      <c r="R226" s="7" t="s">
        <v>73</v>
      </c>
      <c r="S226" s="5">
        <f>S10</f>
        <v>0.30980000000000002</v>
      </c>
      <c r="T226" s="5" t="str">
        <f t="shared" si="168"/>
        <v>Box</v>
      </c>
      <c r="U226" s="5">
        <f t="shared" si="169"/>
        <v>0.30980000000000002</v>
      </c>
    </row>
    <row r="227" spans="2:21" x14ac:dyDescent="0.35">
      <c r="B227" s="7" t="s">
        <v>130</v>
      </c>
      <c r="C227" s="7">
        <v>1</v>
      </c>
      <c r="D227" s="7" t="s">
        <v>74</v>
      </c>
      <c r="E227" s="5">
        <f>E11</f>
        <v>1.8434374999999999E-2</v>
      </c>
      <c r="F227" s="5" t="str">
        <f>D227</f>
        <v>Paper</v>
      </c>
      <c r="G227" s="5">
        <f>C227*E227</f>
        <v>1.8434374999999999E-2</v>
      </c>
      <c r="I227" s="7" t="s">
        <v>130</v>
      </c>
      <c r="J227" s="7">
        <v>1</v>
      </c>
      <c r="K227" s="7" t="s">
        <v>74</v>
      </c>
      <c r="L227" s="5">
        <f>L11</f>
        <v>1.8434374999999999E-2</v>
      </c>
      <c r="M227" s="5" t="str">
        <f>K227</f>
        <v>Paper</v>
      </c>
      <c r="N227" s="5">
        <f>J227*L227</f>
        <v>1.8434374999999999E-2</v>
      </c>
      <c r="P227" s="7" t="s">
        <v>130</v>
      </c>
      <c r="Q227" s="7">
        <v>1</v>
      </c>
      <c r="R227" s="7" t="s">
        <v>74</v>
      </c>
      <c r="S227" s="5">
        <f>S11</f>
        <v>1.8434374999999999E-2</v>
      </c>
      <c r="T227" s="5" t="str">
        <f>R227</f>
        <v>Paper</v>
      </c>
      <c r="U227" s="5">
        <f>Q227*S227</f>
        <v>1.8434374999999999E-2</v>
      </c>
    </row>
    <row r="229" spans="2:21" ht="15.5" x14ac:dyDescent="0.35">
      <c r="B229" s="119" t="s">
        <v>170</v>
      </c>
      <c r="C229" s="120"/>
      <c r="D229" s="121"/>
      <c r="E229" s="122" t="s">
        <v>7</v>
      </c>
      <c r="F229" s="123"/>
      <c r="G229" s="30">
        <f>SUM(G233:G239)</f>
        <v>4.2039807365782824</v>
      </c>
      <c r="I229" s="119" t="s">
        <v>171</v>
      </c>
      <c r="J229" s="120"/>
      <c r="K229" s="121"/>
      <c r="L229" s="122" t="s">
        <v>7</v>
      </c>
      <c r="M229" s="123"/>
      <c r="N229" s="30">
        <f>SUM(N233:N239)</f>
        <v>6.1232776115782821</v>
      </c>
      <c r="P229" s="119" t="s">
        <v>172</v>
      </c>
      <c r="Q229" s="120"/>
      <c r="R229" s="121"/>
      <c r="S229" s="122" t="s">
        <v>7</v>
      </c>
      <c r="T229" s="123"/>
      <c r="U229" s="30">
        <f>SUM(U233:U239)</f>
        <v>8.2686315592658719</v>
      </c>
    </row>
    <row r="230" spans="2:21" x14ac:dyDescent="0.35">
      <c r="B230" s="9"/>
      <c r="G230" s="8"/>
      <c r="I230" s="9"/>
      <c r="N230" s="8"/>
      <c r="P230" s="9"/>
      <c r="U230" s="8"/>
    </row>
    <row r="231" spans="2:21" x14ac:dyDescent="0.35">
      <c r="B231" s="10"/>
      <c r="C231" s="124" t="s">
        <v>13</v>
      </c>
      <c r="D231" s="125"/>
      <c r="E231" s="124" t="s">
        <v>14</v>
      </c>
      <c r="F231" s="125"/>
      <c r="G231" s="5" t="s">
        <v>6</v>
      </c>
      <c r="I231" s="10"/>
      <c r="J231" s="124" t="s">
        <v>13</v>
      </c>
      <c r="K231" s="125"/>
      <c r="L231" s="124" t="s">
        <v>14</v>
      </c>
      <c r="M231" s="125"/>
      <c r="N231" s="5" t="s">
        <v>6</v>
      </c>
      <c r="P231" s="10"/>
      <c r="Q231" s="124" t="s">
        <v>13</v>
      </c>
      <c r="R231" s="125"/>
      <c r="S231" s="124" t="s">
        <v>14</v>
      </c>
      <c r="T231" s="125"/>
      <c r="U231" s="5" t="s">
        <v>6</v>
      </c>
    </row>
    <row r="232" spans="2:21" x14ac:dyDescent="0.35">
      <c r="B232" s="5" t="s">
        <v>10</v>
      </c>
      <c r="C232" s="5" t="s">
        <v>2</v>
      </c>
      <c r="D232" s="5" t="s">
        <v>1</v>
      </c>
      <c r="E232" s="5" t="s">
        <v>11</v>
      </c>
      <c r="F232" s="5" t="s">
        <v>1</v>
      </c>
      <c r="G232" s="5" t="s">
        <v>15</v>
      </c>
      <c r="I232" s="5" t="s">
        <v>10</v>
      </c>
      <c r="J232" s="5" t="s">
        <v>2</v>
      </c>
      <c r="K232" s="5" t="s">
        <v>1</v>
      </c>
      <c r="L232" s="5" t="s">
        <v>11</v>
      </c>
      <c r="M232" s="5" t="s">
        <v>1</v>
      </c>
      <c r="N232" s="5" t="s">
        <v>15</v>
      </c>
      <c r="P232" s="5" t="s">
        <v>10</v>
      </c>
      <c r="Q232" s="5" t="s">
        <v>2</v>
      </c>
      <c r="R232" s="5" t="s">
        <v>1</v>
      </c>
      <c r="S232" s="5" t="s">
        <v>11</v>
      </c>
      <c r="T232" s="5" t="s">
        <v>1</v>
      </c>
      <c r="U232" s="5" t="s">
        <v>15</v>
      </c>
    </row>
    <row r="233" spans="2:21" x14ac:dyDescent="0.35">
      <c r="B233" s="7" t="s">
        <v>61</v>
      </c>
      <c r="C233" s="7">
        <f>C7</f>
        <v>14</v>
      </c>
      <c r="D233" s="7" t="s">
        <v>17</v>
      </c>
      <c r="E233" s="5">
        <f>E7</f>
        <v>3.3574516898448738E-2</v>
      </c>
      <c r="F233" s="5" t="str">
        <f>D233</f>
        <v>Oz</v>
      </c>
      <c r="G233" s="5">
        <f>C233*E233</f>
        <v>0.47004323657828234</v>
      </c>
      <c r="I233" s="7" t="s">
        <v>61</v>
      </c>
      <c r="J233" s="7">
        <f>J7</f>
        <v>14</v>
      </c>
      <c r="K233" s="7" t="s">
        <v>17</v>
      </c>
      <c r="L233" s="5">
        <f>L7</f>
        <v>3.3574516898448738E-2</v>
      </c>
      <c r="M233" s="5" t="str">
        <f>K233</f>
        <v>Oz</v>
      </c>
      <c r="N233" s="5">
        <f>J233*L233</f>
        <v>0.47004323657828234</v>
      </c>
      <c r="P233" s="7" t="s">
        <v>61</v>
      </c>
      <c r="Q233" s="7">
        <f>Q7</f>
        <v>22</v>
      </c>
      <c r="R233" s="7" t="s">
        <v>17</v>
      </c>
      <c r="S233" s="5">
        <f>S7</f>
        <v>3.3574516898448738E-2</v>
      </c>
      <c r="T233" s="5" t="str">
        <f>R233</f>
        <v>Oz</v>
      </c>
      <c r="U233" s="5">
        <f>Q233*S233</f>
        <v>0.73863937176587224</v>
      </c>
    </row>
    <row r="234" spans="2:21" x14ac:dyDescent="0.35">
      <c r="B234" s="7" t="s">
        <v>22</v>
      </c>
      <c r="C234" s="7">
        <f>C9</f>
        <v>3.875</v>
      </c>
      <c r="D234" s="7" t="s">
        <v>17</v>
      </c>
      <c r="E234" s="5">
        <f>E38</f>
        <v>0.18312500000000001</v>
      </c>
      <c r="F234" s="5" t="str">
        <f t="shared" ref="F234:F238" si="170">D234</f>
        <v>Oz</v>
      </c>
      <c r="G234" s="5">
        <f t="shared" ref="G234:G238" si="171">C234*E234</f>
        <v>0.70960937499999999</v>
      </c>
      <c r="I234" s="7" t="s">
        <v>22</v>
      </c>
      <c r="J234" s="7">
        <f>J9</f>
        <v>5.625</v>
      </c>
      <c r="K234" s="7" t="s">
        <v>17</v>
      </c>
      <c r="L234" s="5">
        <f>L38</f>
        <v>0.18312500000000001</v>
      </c>
      <c r="M234" s="5" t="str">
        <f t="shared" ref="M234:M238" si="172">K234</f>
        <v>Oz</v>
      </c>
      <c r="N234" s="5">
        <f t="shared" ref="N234:N238" si="173">J234*L234</f>
        <v>1.030078125</v>
      </c>
      <c r="P234" s="7" t="s">
        <v>22</v>
      </c>
      <c r="Q234" s="7">
        <f>Q9</f>
        <v>8.125</v>
      </c>
      <c r="R234" s="7" t="s">
        <v>17</v>
      </c>
      <c r="S234" s="5">
        <f>S38</f>
        <v>0.18312500000000001</v>
      </c>
      <c r="T234" s="5" t="str">
        <f t="shared" ref="T234:T238" si="174">R234</f>
        <v>Oz</v>
      </c>
      <c r="U234" s="5">
        <f t="shared" ref="U234:U238" si="175">Q234*S234</f>
        <v>1.4878906250000001</v>
      </c>
    </row>
    <row r="235" spans="2:21" x14ac:dyDescent="0.35">
      <c r="B235" s="7" t="s">
        <v>96</v>
      </c>
      <c r="C235" s="7">
        <f>C35</f>
        <v>1</v>
      </c>
      <c r="D235" s="7" t="s">
        <v>96</v>
      </c>
      <c r="E235" s="5">
        <f>E35</f>
        <v>1.625</v>
      </c>
      <c r="F235" s="5" t="str">
        <f t="shared" si="170"/>
        <v>Steak</v>
      </c>
      <c r="G235" s="5">
        <f t="shared" si="171"/>
        <v>1.625</v>
      </c>
      <c r="I235" s="7" t="s">
        <v>96</v>
      </c>
      <c r="J235" s="7">
        <f>J35</f>
        <v>1.5</v>
      </c>
      <c r="K235" s="7" t="s">
        <v>96</v>
      </c>
      <c r="L235" s="5">
        <f>L35</f>
        <v>1.625</v>
      </c>
      <c r="M235" s="5" t="str">
        <f t="shared" si="172"/>
        <v>Steak</v>
      </c>
      <c r="N235" s="5">
        <f t="shared" si="173"/>
        <v>2.4375</v>
      </c>
      <c r="P235" s="7" t="s">
        <v>96</v>
      </c>
      <c r="Q235" s="7">
        <f>Q35</f>
        <v>2</v>
      </c>
      <c r="R235" s="7" t="s">
        <v>96</v>
      </c>
      <c r="S235" s="5">
        <f>S35</f>
        <v>1.625</v>
      </c>
      <c r="T235" s="5" t="str">
        <f t="shared" si="174"/>
        <v>Steak</v>
      </c>
      <c r="U235" s="5">
        <f t="shared" si="175"/>
        <v>3.25</v>
      </c>
    </row>
    <row r="236" spans="2:21" x14ac:dyDescent="0.35">
      <c r="B236" s="7" t="s">
        <v>28</v>
      </c>
      <c r="C236" s="7">
        <f>C30</f>
        <v>2</v>
      </c>
      <c r="D236" s="7" t="s">
        <v>17</v>
      </c>
      <c r="E236" s="5">
        <f>E30</f>
        <v>0.46875</v>
      </c>
      <c r="F236" s="5" t="str">
        <f t="shared" si="170"/>
        <v>Oz</v>
      </c>
      <c r="G236" s="5">
        <f t="shared" si="171"/>
        <v>0.9375</v>
      </c>
      <c r="I236" s="7" t="s">
        <v>28</v>
      </c>
      <c r="J236" s="7">
        <f>J30</f>
        <v>3.375</v>
      </c>
      <c r="K236" s="7" t="s">
        <v>17</v>
      </c>
      <c r="L236" s="5">
        <f>L30</f>
        <v>0.46875</v>
      </c>
      <c r="M236" s="5" t="str">
        <f t="shared" si="172"/>
        <v>Oz</v>
      </c>
      <c r="N236" s="5">
        <f t="shared" si="173"/>
        <v>1.58203125</v>
      </c>
      <c r="P236" s="7" t="s">
        <v>28</v>
      </c>
      <c r="Q236" s="7">
        <f>Q30</f>
        <v>4.375</v>
      </c>
      <c r="R236" s="7" t="s">
        <v>17</v>
      </c>
      <c r="S236" s="5">
        <f>S30</f>
        <v>0.46875</v>
      </c>
      <c r="T236" s="5" t="str">
        <f t="shared" si="174"/>
        <v>Oz</v>
      </c>
      <c r="U236" s="5">
        <f t="shared" si="175"/>
        <v>2.05078125</v>
      </c>
    </row>
    <row r="237" spans="2:21" x14ac:dyDescent="0.35">
      <c r="B237" s="7" t="s">
        <v>44</v>
      </c>
      <c r="C237" s="7">
        <f>C225</f>
        <v>2</v>
      </c>
      <c r="D237" s="7" t="str">
        <f>D225</f>
        <v>Fluid Oz</v>
      </c>
      <c r="E237" s="5">
        <f>E225</f>
        <v>9.1796875E-2</v>
      </c>
      <c r="F237" s="5" t="str">
        <f t="shared" si="170"/>
        <v>Fluid Oz</v>
      </c>
      <c r="G237" s="5">
        <f t="shared" si="171"/>
        <v>0.18359375</v>
      </c>
      <c r="I237" s="7" t="s">
        <v>44</v>
      </c>
      <c r="J237" s="7">
        <f>J225</f>
        <v>3</v>
      </c>
      <c r="K237" s="7" t="str">
        <f>K225</f>
        <v>Fluid Oz</v>
      </c>
      <c r="L237" s="5">
        <f>L225</f>
        <v>9.1796875E-2</v>
      </c>
      <c r="M237" s="5" t="str">
        <f t="shared" si="172"/>
        <v>Fluid Oz</v>
      </c>
      <c r="N237" s="5">
        <f t="shared" si="173"/>
        <v>0.275390625</v>
      </c>
      <c r="P237" s="7" t="s">
        <v>44</v>
      </c>
      <c r="Q237" s="7">
        <f>Q225</f>
        <v>4.5</v>
      </c>
      <c r="R237" s="7" t="str">
        <f>R225</f>
        <v>Fluid Oz</v>
      </c>
      <c r="S237" s="5">
        <f>S225</f>
        <v>9.1796875E-2</v>
      </c>
      <c r="T237" s="5" t="str">
        <f t="shared" si="174"/>
        <v>Fluid Oz</v>
      </c>
      <c r="U237" s="5">
        <f t="shared" si="175"/>
        <v>0.4130859375</v>
      </c>
    </row>
    <row r="238" spans="2:21" x14ac:dyDescent="0.35">
      <c r="B238" s="7" t="s">
        <v>179</v>
      </c>
      <c r="C238" s="7">
        <v>1</v>
      </c>
      <c r="D238" s="7" t="s">
        <v>73</v>
      </c>
      <c r="E238" s="5">
        <f>E10</f>
        <v>0.25980000000000003</v>
      </c>
      <c r="F238" s="5" t="str">
        <f t="shared" si="170"/>
        <v>Box</v>
      </c>
      <c r="G238" s="5">
        <f t="shared" si="171"/>
        <v>0.25980000000000003</v>
      </c>
      <c r="I238" s="7" t="s">
        <v>180</v>
      </c>
      <c r="J238" s="7">
        <v>1</v>
      </c>
      <c r="K238" s="7" t="s">
        <v>73</v>
      </c>
      <c r="L238" s="5">
        <f>L10</f>
        <v>0.30980000000000002</v>
      </c>
      <c r="M238" s="5" t="str">
        <f t="shared" si="172"/>
        <v>Box</v>
      </c>
      <c r="N238" s="5">
        <f t="shared" si="173"/>
        <v>0.30980000000000002</v>
      </c>
      <c r="P238" s="7" t="s">
        <v>181</v>
      </c>
      <c r="Q238" s="7">
        <v>1</v>
      </c>
      <c r="R238" s="7" t="s">
        <v>73</v>
      </c>
      <c r="S238" s="5">
        <f>S10</f>
        <v>0.30980000000000002</v>
      </c>
      <c r="T238" s="5" t="str">
        <f t="shared" si="174"/>
        <v>Box</v>
      </c>
      <c r="U238" s="5">
        <f t="shared" si="175"/>
        <v>0.30980000000000002</v>
      </c>
    </row>
    <row r="239" spans="2:21" x14ac:dyDescent="0.35">
      <c r="B239" s="7" t="s">
        <v>130</v>
      </c>
      <c r="C239" s="7">
        <v>1</v>
      </c>
      <c r="D239" s="7" t="s">
        <v>74</v>
      </c>
      <c r="E239" s="5">
        <f>E11</f>
        <v>1.8434374999999999E-2</v>
      </c>
      <c r="F239" s="5" t="str">
        <f>D239</f>
        <v>Paper</v>
      </c>
      <c r="G239" s="5">
        <f>C239*E239</f>
        <v>1.8434374999999999E-2</v>
      </c>
      <c r="I239" s="7" t="s">
        <v>130</v>
      </c>
      <c r="J239" s="7">
        <v>1</v>
      </c>
      <c r="K239" s="7" t="s">
        <v>74</v>
      </c>
      <c r="L239" s="5">
        <f>L11</f>
        <v>1.8434374999999999E-2</v>
      </c>
      <c r="M239" s="5" t="str">
        <f>K239</f>
        <v>Paper</v>
      </c>
      <c r="N239" s="5">
        <f>J239*L239</f>
        <v>1.8434374999999999E-2</v>
      </c>
      <c r="P239" s="7" t="s">
        <v>130</v>
      </c>
      <c r="Q239" s="7">
        <v>1</v>
      </c>
      <c r="R239" s="7" t="s">
        <v>74</v>
      </c>
      <c r="S239" s="5">
        <f>S11</f>
        <v>1.8434374999999999E-2</v>
      </c>
      <c r="T239" s="5" t="str">
        <f>R239</f>
        <v>Paper</v>
      </c>
      <c r="U239" s="5">
        <f>Q239*S239</f>
        <v>1.8434374999999999E-2</v>
      </c>
    </row>
    <row r="241" spans="2:21" ht="15.5" x14ac:dyDescent="0.35">
      <c r="B241" s="119" t="s">
        <v>173</v>
      </c>
      <c r="C241" s="120"/>
      <c r="D241" s="121"/>
      <c r="E241" s="122" t="s">
        <v>7</v>
      </c>
      <c r="F241" s="123"/>
      <c r="G241" s="30">
        <f>SUM(G245:G250)</f>
        <v>2.6655432365782827</v>
      </c>
      <c r="I241" s="119" t="s">
        <v>174</v>
      </c>
      <c r="J241" s="120"/>
      <c r="K241" s="121"/>
      <c r="L241" s="122" t="s">
        <v>7</v>
      </c>
      <c r="M241" s="123"/>
      <c r="N241" s="30">
        <f>SUM(N245:N250)</f>
        <v>3.6398401115782821</v>
      </c>
      <c r="P241" s="119" t="s">
        <v>175</v>
      </c>
      <c r="Q241" s="120"/>
      <c r="R241" s="121"/>
      <c r="S241" s="122" t="s">
        <v>7</v>
      </c>
      <c r="T241" s="123"/>
      <c r="U241" s="30">
        <f>SUM(U245:U250)</f>
        <v>5.0251159342658722</v>
      </c>
    </row>
    <row r="242" spans="2:21" x14ac:dyDescent="0.35">
      <c r="B242" s="9"/>
      <c r="G242" s="8"/>
      <c r="I242" s="9"/>
      <c r="N242" s="8"/>
      <c r="P242" s="9"/>
      <c r="U242" s="8"/>
    </row>
    <row r="243" spans="2:21" x14ac:dyDescent="0.35">
      <c r="B243" s="10"/>
      <c r="C243" s="124" t="s">
        <v>13</v>
      </c>
      <c r="D243" s="125"/>
      <c r="E243" s="124" t="s">
        <v>14</v>
      </c>
      <c r="F243" s="125"/>
      <c r="G243" s="5" t="s">
        <v>6</v>
      </c>
      <c r="I243" s="10"/>
      <c r="J243" s="124" t="s">
        <v>13</v>
      </c>
      <c r="K243" s="125"/>
      <c r="L243" s="124" t="s">
        <v>14</v>
      </c>
      <c r="M243" s="125"/>
      <c r="N243" s="5" t="s">
        <v>6</v>
      </c>
      <c r="P243" s="10"/>
      <c r="Q243" s="124" t="s">
        <v>13</v>
      </c>
      <c r="R243" s="125"/>
      <c r="S243" s="124" t="s">
        <v>14</v>
      </c>
      <c r="T243" s="125"/>
      <c r="U243" s="5" t="s">
        <v>6</v>
      </c>
    </row>
    <row r="244" spans="2:21" x14ac:dyDescent="0.35">
      <c r="B244" s="5" t="s">
        <v>10</v>
      </c>
      <c r="C244" s="5" t="s">
        <v>2</v>
      </c>
      <c r="D244" s="5" t="s">
        <v>1</v>
      </c>
      <c r="E244" s="5" t="s">
        <v>11</v>
      </c>
      <c r="F244" s="5" t="s">
        <v>1</v>
      </c>
      <c r="G244" s="5" t="s">
        <v>15</v>
      </c>
      <c r="I244" s="5" t="s">
        <v>10</v>
      </c>
      <c r="J244" s="5" t="s">
        <v>2</v>
      </c>
      <c r="K244" s="5" t="s">
        <v>1</v>
      </c>
      <c r="L244" s="5" t="s">
        <v>11</v>
      </c>
      <c r="M244" s="5" t="s">
        <v>1</v>
      </c>
      <c r="N244" s="5" t="s">
        <v>15</v>
      </c>
      <c r="P244" s="5" t="s">
        <v>10</v>
      </c>
      <c r="Q244" s="5" t="s">
        <v>2</v>
      </c>
      <c r="R244" s="5" t="s">
        <v>1</v>
      </c>
      <c r="S244" s="5" t="s">
        <v>11</v>
      </c>
      <c r="T244" s="5" t="s">
        <v>1</v>
      </c>
      <c r="U244" s="5" t="s">
        <v>15</v>
      </c>
    </row>
    <row r="245" spans="2:21" x14ac:dyDescent="0.35">
      <c r="B245" s="7" t="s">
        <v>61</v>
      </c>
      <c r="C245" s="7">
        <f>C7</f>
        <v>14</v>
      </c>
      <c r="D245" s="7" t="s">
        <v>17</v>
      </c>
      <c r="E245" s="5">
        <f>E7</f>
        <v>3.3574516898448738E-2</v>
      </c>
      <c r="F245" s="5" t="str">
        <f>D245</f>
        <v>Oz</v>
      </c>
      <c r="G245" s="5">
        <f>C245*E245</f>
        <v>0.47004323657828234</v>
      </c>
      <c r="I245" s="7" t="s">
        <v>61</v>
      </c>
      <c r="J245" s="7">
        <f>J7</f>
        <v>14</v>
      </c>
      <c r="K245" s="7" t="s">
        <v>17</v>
      </c>
      <c r="L245" s="5">
        <f>L7</f>
        <v>3.3574516898448738E-2</v>
      </c>
      <c r="M245" s="5" t="str">
        <f>K245</f>
        <v>Oz</v>
      </c>
      <c r="N245" s="5">
        <f>J245*L245</f>
        <v>0.47004323657828234</v>
      </c>
      <c r="P245" s="7" t="s">
        <v>61</v>
      </c>
      <c r="Q245" s="7">
        <f>Q7</f>
        <v>22</v>
      </c>
      <c r="R245" s="7" t="s">
        <v>17</v>
      </c>
      <c r="S245" s="5">
        <f>S7</f>
        <v>3.3574516898448738E-2</v>
      </c>
      <c r="T245" s="5" t="str">
        <f>R245</f>
        <v>Oz</v>
      </c>
      <c r="U245" s="5">
        <f>Q245*S245</f>
        <v>0.73863937176587224</v>
      </c>
    </row>
    <row r="246" spans="2:21" x14ac:dyDescent="0.35">
      <c r="B246" s="7" t="s">
        <v>22</v>
      </c>
      <c r="C246" s="7">
        <f>C9</f>
        <v>3.875</v>
      </c>
      <c r="D246" s="7" t="s">
        <v>17</v>
      </c>
      <c r="E246" s="5">
        <f>E38</f>
        <v>0.18312500000000001</v>
      </c>
      <c r="F246" s="5" t="str">
        <f t="shared" ref="F246:F249" si="176">D246</f>
        <v>Oz</v>
      </c>
      <c r="G246" s="5">
        <f t="shared" ref="G246:G249" si="177">C246*E246</f>
        <v>0.70960937499999999</v>
      </c>
      <c r="I246" s="7" t="s">
        <v>22</v>
      </c>
      <c r="J246" s="7">
        <f>J9</f>
        <v>5.625</v>
      </c>
      <c r="K246" s="7" t="s">
        <v>17</v>
      </c>
      <c r="L246" s="5">
        <f>L38</f>
        <v>0.18312500000000001</v>
      </c>
      <c r="M246" s="5" t="str">
        <f t="shared" ref="M246:M249" si="178">K246</f>
        <v>Oz</v>
      </c>
      <c r="N246" s="5">
        <f t="shared" ref="N246:N249" si="179">J246*L246</f>
        <v>1.030078125</v>
      </c>
      <c r="P246" s="7" t="s">
        <v>22</v>
      </c>
      <c r="Q246" s="7">
        <f>Q9</f>
        <v>8.125</v>
      </c>
      <c r="R246" s="7" t="s">
        <v>17</v>
      </c>
      <c r="S246" s="5">
        <f>S38</f>
        <v>0.18312500000000001</v>
      </c>
      <c r="T246" s="5" t="str">
        <f t="shared" ref="T246:T249" si="180">R246</f>
        <v>Oz</v>
      </c>
      <c r="U246" s="5">
        <f t="shared" ref="U246:U249" si="181">Q246*S246</f>
        <v>1.4878906250000001</v>
      </c>
    </row>
    <row r="247" spans="2:21" x14ac:dyDescent="0.35">
      <c r="B247" s="7" t="s">
        <v>9</v>
      </c>
      <c r="C247" s="7">
        <v>2</v>
      </c>
      <c r="D247" s="7" t="s">
        <v>292</v>
      </c>
      <c r="E247" s="5">
        <f>'Food Prices'!P60</f>
        <v>0.49375000000000002</v>
      </c>
      <c r="F247" s="5" t="str">
        <f t="shared" si="176"/>
        <v>Count</v>
      </c>
      <c r="G247" s="5">
        <f t="shared" si="177"/>
        <v>0.98750000000000004</v>
      </c>
      <c r="I247" s="7" t="s">
        <v>9</v>
      </c>
      <c r="J247" s="7">
        <v>3</v>
      </c>
      <c r="K247" s="7" t="str">
        <f>D247</f>
        <v>Count</v>
      </c>
      <c r="L247" s="5">
        <f>E247</f>
        <v>0.49375000000000002</v>
      </c>
      <c r="M247" s="5" t="str">
        <f t="shared" si="178"/>
        <v>Count</v>
      </c>
      <c r="N247" s="5">
        <f t="shared" si="179"/>
        <v>1.4812500000000002</v>
      </c>
      <c r="P247" s="7" t="s">
        <v>9</v>
      </c>
      <c r="Q247" s="7">
        <v>4</v>
      </c>
      <c r="R247" s="7" t="str">
        <f>K247</f>
        <v>Count</v>
      </c>
      <c r="S247" s="5">
        <f>L247</f>
        <v>0.49375000000000002</v>
      </c>
      <c r="T247" s="5" t="str">
        <f t="shared" si="180"/>
        <v>Count</v>
      </c>
      <c r="U247" s="5">
        <f t="shared" si="181"/>
        <v>1.9750000000000001</v>
      </c>
    </row>
    <row r="248" spans="2:21" x14ac:dyDescent="0.35">
      <c r="B248" s="7" t="s">
        <v>32</v>
      </c>
      <c r="C248" s="7">
        <v>2</v>
      </c>
      <c r="D248" s="7" t="s">
        <v>416</v>
      </c>
      <c r="E248" s="5">
        <f>'Food Prices'!J34</f>
        <v>0.110078125</v>
      </c>
      <c r="F248" s="5" t="str">
        <f t="shared" si="176"/>
        <v>Fluid Oz</v>
      </c>
      <c r="G248" s="5">
        <f t="shared" si="177"/>
        <v>0.22015625</v>
      </c>
      <c r="I248" s="7" t="s">
        <v>32</v>
      </c>
      <c r="J248" s="7">
        <v>3</v>
      </c>
      <c r="K248" s="7" t="s">
        <v>416</v>
      </c>
      <c r="L248" s="5">
        <f>E248</f>
        <v>0.110078125</v>
      </c>
      <c r="M248" s="5" t="str">
        <f t="shared" si="178"/>
        <v>Fluid Oz</v>
      </c>
      <c r="N248" s="5">
        <f t="shared" si="179"/>
        <v>0.33023437499999997</v>
      </c>
      <c r="P248" s="7" t="s">
        <v>32</v>
      </c>
      <c r="Q248" s="7">
        <v>4.5</v>
      </c>
      <c r="R248" s="7" t="s">
        <v>416</v>
      </c>
      <c r="S248" s="5">
        <f>L248</f>
        <v>0.110078125</v>
      </c>
      <c r="T248" s="5" t="str">
        <f t="shared" si="180"/>
        <v>Fluid Oz</v>
      </c>
      <c r="U248" s="5">
        <f t="shared" si="181"/>
        <v>0.49535156250000001</v>
      </c>
    </row>
    <row r="249" spans="2:21" x14ac:dyDescent="0.35">
      <c r="B249" s="7" t="s">
        <v>179</v>
      </c>
      <c r="C249" s="7">
        <v>1</v>
      </c>
      <c r="D249" s="7" t="s">
        <v>73</v>
      </c>
      <c r="E249" s="5">
        <f>E10</f>
        <v>0.25980000000000003</v>
      </c>
      <c r="F249" s="5" t="str">
        <f t="shared" si="176"/>
        <v>Box</v>
      </c>
      <c r="G249" s="5">
        <f t="shared" si="177"/>
        <v>0.25980000000000003</v>
      </c>
      <c r="I249" s="7" t="s">
        <v>180</v>
      </c>
      <c r="J249" s="7">
        <v>1</v>
      </c>
      <c r="K249" s="7" t="s">
        <v>73</v>
      </c>
      <c r="L249" s="5">
        <f>L10</f>
        <v>0.30980000000000002</v>
      </c>
      <c r="M249" s="5" t="str">
        <f t="shared" si="178"/>
        <v>Box</v>
      </c>
      <c r="N249" s="5">
        <f t="shared" si="179"/>
        <v>0.30980000000000002</v>
      </c>
      <c r="P249" s="7" t="s">
        <v>181</v>
      </c>
      <c r="Q249" s="7">
        <v>1</v>
      </c>
      <c r="R249" s="7" t="s">
        <v>73</v>
      </c>
      <c r="S249" s="5">
        <f>S10</f>
        <v>0.30980000000000002</v>
      </c>
      <c r="T249" s="5" t="str">
        <f t="shared" si="180"/>
        <v>Box</v>
      </c>
      <c r="U249" s="5">
        <f t="shared" si="181"/>
        <v>0.30980000000000002</v>
      </c>
    </row>
    <row r="250" spans="2:21" x14ac:dyDescent="0.35">
      <c r="B250" s="7" t="s">
        <v>130</v>
      </c>
      <c r="C250" s="7">
        <v>1</v>
      </c>
      <c r="D250" s="7" t="s">
        <v>74</v>
      </c>
      <c r="E250" s="5">
        <f>E11</f>
        <v>1.8434374999999999E-2</v>
      </c>
      <c r="F250" s="5" t="str">
        <f>D250</f>
        <v>Paper</v>
      </c>
      <c r="G250" s="5">
        <f>C250*E250</f>
        <v>1.8434374999999999E-2</v>
      </c>
      <c r="I250" s="7" t="s">
        <v>130</v>
      </c>
      <c r="J250" s="7">
        <v>1</v>
      </c>
      <c r="K250" s="7" t="s">
        <v>74</v>
      </c>
      <c r="L250" s="5">
        <f>L11</f>
        <v>1.8434374999999999E-2</v>
      </c>
      <c r="M250" s="5" t="str">
        <f>K250</f>
        <v>Paper</v>
      </c>
      <c r="N250" s="5">
        <f>J250*L250</f>
        <v>1.8434374999999999E-2</v>
      </c>
      <c r="P250" s="7" t="s">
        <v>130</v>
      </c>
      <c r="Q250" s="7">
        <v>1</v>
      </c>
      <c r="R250" s="7" t="s">
        <v>74</v>
      </c>
      <c r="S250" s="5">
        <f>S11</f>
        <v>1.8434374999999999E-2</v>
      </c>
      <c r="T250" s="5" t="str">
        <f>R250</f>
        <v>Paper</v>
      </c>
      <c r="U250" s="5">
        <f>Q250*S250</f>
        <v>1.8434374999999999E-2</v>
      </c>
    </row>
  </sheetData>
  <mergeCells count="200">
    <mergeCell ref="S241:T241"/>
    <mergeCell ref="C243:D243"/>
    <mergeCell ref="E243:F243"/>
    <mergeCell ref="J243:K243"/>
    <mergeCell ref="L243:M243"/>
    <mergeCell ref="Q243:R243"/>
    <mergeCell ref="S243:T243"/>
    <mergeCell ref="B241:D241"/>
    <mergeCell ref="E241:F241"/>
    <mergeCell ref="I241:K241"/>
    <mergeCell ref="L241:M241"/>
    <mergeCell ref="P241:R241"/>
    <mergeCell ref="S229:T229"/>
    <mergeCell ref="C231:D231"/>
    <mergeCell ref="E231:F231"/>
    <mergeCell ref="J231:K231"/>
    <mergeCell ref="L231:M231"/>
    <mergeCell ref="Q231:R231"/>
    <mergeCell ref="S231:T231"/>
    <mergeCell ref="B229:D229"/>
    <mergeCell ref="E229:F229"/>
    <mergeCell ref="I229:K229"/>
    <mergeCell ref="L229:M229"/>
    <mergeCell ref="P229:R229"/>
    <mergeCell ref="S217:T217"/>
    <mergeCell ref="C219:D219"/>
    <mergeCell ref="E219:F219"/>
    <mergeCell ref="J219:K219"/>
    <mergeCell ref="L219:M219"/>
    <mergeCell ref="Q219:R219"/>
    <mergeCell ref="S219:T219"/>
    <mergeCell ref="B217:D217"/>
    <mergeCell ref="E217:F217"/>
    <mergeCell ref="I217:K217"/>
    <mergeCell ref="L217:M217"/>
    <mergeCell ref="P217:R217"/>
    <mergeCell ref="S203:T203"/>
    <mergeCell ref="C205:D205"/>
    <mergeCell ref="E205:F205"/>
    <mergeCell ref="J205:K205"/>
    <mergeCell ref="L205:M205"/>
    <mergeCell ref="Q205:R205"/>
    <mergeCell ref="S205:T205"/>
    <mergeCell ref="B203:D203"/>
    <mergeCell ref="E203:F203"/>
    <mergeCell ref="I203:K203"/>
    <mergeCell ref="L203:M203"/>
    <mergeCell ref="P203:R203"/>
    <mergeCell ref="S190:T190"/>
    <mergeCell ref="C192:D192"/>
    <mergeCell ref="E192:F192"/>
    <mergeCell ref="J192:K192"/>
    <mergeCell ref="L192:M192"/>
    <mergeCell ref="Q192:R192"/>
    <mergeCell ref="S192:T192"/>
    <mergeCell ref="B190:D190"/>
    <mergeCell ref="E190:F190"/>
    <mergeCell ref="I190:K190"/>
    <mergeCell ref="L190:M190"/>
    <mergeCell ref="P190:R190"/>
    <mergeCell ref="S177:T177"/>
    <mergeCell ref="C179:D179"/>
    <mergeCell ref="E179:F179"/>
    <mergeCell ref="J179:K179"/>
    <mergeCell ref="L179:M179"/>
    <mergeCell ref="Q179:R179"/>
    <mergeCell ref="S179:T179"/>
    <mergeCell ref="B177:D177"/>
    <mergeCell ref="E177:F177"/>
    <mergeCell ref="I177:K177"/>
    <mergeCell ref="L177:M177"/>
    <mergeCell ref="P177:R177"/>
    <mergeCell ref="S162:T162"/>
    <mergeCell ref="C164:D164"/>
    <mergeCell ref="E164:F164"/>
    <mergeCell ref="J164:K164"/>
    <mergeCell ref="L164:M164"/>
    <mergeCell ref="Q164:R164"/>
    <mergeCell ref="S164:T164"/>
    <mergeCell ref="B162:D162"/>
    <mergeCell ref="E162:F162"/>
    <mergeCell ref="I162:K162"/>
    <mergeCell ref="L162:M162"/>
    <mergeCell ref="P162:R162"/>
    <mergeCell ref="S145:T145"/>
    <mergeCell ref="C147:D147"/>
    <mergeCell ref="E147:F147"/>
    <mergeCell ref="J147:K147"/>
    <mergeCell ref="L147:M147"/>
    <mergeCell ref="Q147:R147"/>
    <mergeCell ref="S147:T147"/>
    <mergeCell ref="B145:D145"/>
    <mergeCell ref="E145:F145"/>
    <mergeCell ref="I145:K145"/>
    <mergeCell ref="L145:M145"/>
    <mergeCell ref="P145:R145"/>
    <mergeCell ref="S129:T129"/>
    <mergeCell ref="C131:D131"/>
    <mergeCell ref="E131:F131"/>
    <mergeCell ref="J131:K131"/>
    <mergeCell ref="L131:M131"/>
    <mergeCell ref="Q131:R131"/>
    <mergeCell ref="S131:T131"/>
    <mergeCell ref="B129:D129"/>
    <mergeCell ref="E129:F129"/>
    <mergeCell ref="I129:K129"/>
    <mergeCell ref="L129:M129"/>
    <mergeCell ref="P129:R129"/>
    <mergeCell ref="S113:T113"/>
    <mergeCell ref="C115:D115"/>
    <mergeCell ref="E115:F115"/>
    <mergeCell ref="J115:K115"/>
    <mergeCell ref="L115:M115"/>
    <mergeCell ref="Q115:R115"/>
    <mergeCell ref="S115:T115"/>
    <mergeCell ref="B113:D113"/>
    <mergeCell ref="E113:F113"/>
    <mergeCell ref="I113:K113"/>
    <mergeCell ref="L113:M113"/>
    <mergeCell ref="P113:R113"/>
    <mergeCell ref="S98:T98"/>
    <mergeCell ref="C100:D100"/>
    <mergeCell ref="E100:F100"/>
    <mergeCell ref="J100:K100"/>
    <mergeCell ref="L100:M100"/>
    <mergeCell ref="Q100:R100"/>
    <mergeCell ref="S100:T100"/>
    <mergeCell ref="B98:D98"/>
    <mergeCell ref="E98:F98"/>
    <mergeCell ref="I98:K98"/>
    <mergeCell ref="L98:M98"/>
    <mergeCell ref="P98:R98"/>
    <mergeCell ref="C88:D88"/>
    <mergeCell ref="E88:F88"/>
    <mergeCell ref="P86:R86"/>
    <mergeCell ref="S86:T86"/>
    <mergeCell ref="Q88:R88"/>
    <mergeCell ref="S88:T88"/>
    <mergeCell ref="B86:D86"/>
    <mergeCell ref="E86:F86"/>
    <mergeCell ref="I86:K86"/>
    <mergeCell ref="L86:M86"/>
    <mergeCell ref="J88:K88"/>
    <mergeCell ref="L88:M88"/>
    <mergeCell ref="S13:T13"/>
    <mergeCell ref="P3:R3"/>
    <mergeCell ref="S3:T3"/>
    <mergeCell ref="C5:D5"/>
    <mergeCell ref="J5:K5"/>
    <mergeCell ref="Q5:R5"/>
    <mergeCell ref="S5:T5"/>
    <mergeCell ref="L5:M5"/>
    <mergeCell ref="E5:F5"/>
    <mergeCell ref="B3:D3"/>
    <mergeCell ref="E3:F3"/>
    <mergeCell ref="I3:K3"/>
    <mergeCell ref="L3:M3"/>
    <mergeCell ref="P56:U56"/>
    <mergeCell ref="Q58:R58"/>
    <mergeCell ref="S58:T58"/>
    <mergeCell ref="C1:O1"/>
    <mergeCell ref="B13:D13"/>
    <mergeCell ref="E13:F13"/>
    <mergeCell ref="I13:K13"/>
    <mergeCell ref="L13:M13"/>
    <mergeCell ref="S26:T26"/>
    <mergeCell ref="B24:G24"/>
    <mergeCell ref="I24:N24"/>
    <mergeCell ref="P24:U24"/>
    <mergeCell ref="C15:D15"/>
    <mergeCell ref="E15:F15"/>
    <mergeCell ref="J15:K15"/>
    <mergeCell ref="L15:M15"/>
    <mergeCell ref="Q15:R15"/>
    <mergeCell ref="S15:T15"/>
    <mergeCell ref="C26:D26"/>
    <mergeCell ref="E26:F26"/>
    <mergeCell ref="J26:K26"/>
    <mergeCell ref="L26:M26"/>
    <mergeCell ref="Q26:R26"/>
    <mergeCell ref="P13:R13"/>
    <mergeCell ref="C55:O55"/>
    <mergeCell ref="B57:D57"/>
    <mergeCell ref="E57:F57"/>
    <mergeCell ref="I57:K57"/>
    <mergeCell ref="L57:M57"/>
    <mergeCell ref="C59:D59"/>
    <mergeCell ref="E59:F59"/>
    <mergeCell ref="J59:K59"/>
    <mergeCell ref="L59:M59"/>
    <mergeCell ref="J74:K74"/>
    <mergeCell ref="L74:M74"/>
    <mergeCell ref="B67:D67"/>
    <mergeCell ref="E67:F67"/>
    <mergeCell ref="I70:K70"/>
    <mergeCell ref="L70:M70"/>
    <mergeCell ref="C69:D69"/>
    <mergeCell ref="E69:F69"/>
    <mergeCell ref="L72:M72"/>
    <mergeCell ref="I72:K72"/>
  </mergeCells>
  <pageMargins left="0.25" right="0.25" top="0.75" bottom="0.75" header="0.3" footer="0.3"/>
  <pageSetup scale="58"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A494-3A53-4933-AC50-55559ECF66D9}">
  <sheetPr codeName="Sheet6">
    <pageSetUpPr fitToPage="1"/>
  </sheetPr>
  <dimension ref="B1:U127"/>
  <sheetViews>
    <sheetView showGridLines="0" zoomScale="70" zoomScaleNormal="70" workbookViewId="0">
      <selection activeCell="C1" sqref="C1:O1"/>
    </sheetView>
  </sheetViews>
  <sheetFormatPr defaultRowHeight="14.5" x14ac:dyDescent="0.35"/>
  <cols>
    <col min="1" max="1" width="3.1796875" customWidth="1"/>
    <col min="2" max="2" width="19.26953125" bestFit="1" customWidth="1"/>
    <col min="5" max="5" width="12.26953125" bestFit="1" customWidth="1"/>
    <col min="9" max="9" width="19.26953125" bestFit="1" customWidth="1"/>
    <col min="12" max="12" width="12.26953125" bestFit="1" customWidth="1"/>
    <col min="16" max="16" width="16.6328125" bestFit="1" customWidth="1"/>
    <col min="19" max="19" width="12.26953125" bestFit="1" customWidth="1"/>
  </cols>
  <sheetData>
    <row r="1" spans="2:21" ht="23.5" x14ac:dyDescent="0.55000000000000004">
      <c r="C1" s="118" t="s">
        <v>176</v>
      </c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2:21" x14ac:dyDescent="0.3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4" spans="2:21" ht="15.5" x14ac:dyDescent="0.35">
      <c r="B4" s="119" t="s">
        <v>177</v>
      </c>
      <c r="C4" s="120"/>
      <c r="D4" s="121"/>
      <c r="E4" s="122" t="s">
        <v>7</v>
      </c>
      <c r="F4" s="123"/>
      <c r="G4" s="30">
        <f>SUM(G8:G14)</f>
        <v>2.4985176547066357</v>
      </c>
      <c r="I4" s="119" t="s">
        <v>178</v>
      </c>
      <c r="J4" s="120"/>
      <c r="K4" s="121"/>
      <c r="L4" s="122" t="s">
        <v>7</v>
      </c>
      <c r="M4" s="123"/>
      <c r="N4" s="30">
        <f>SUM(N8:N14)</f>
        <v>6.3834637383617645</v>
      </c>
      <c r="P4" s="119" t="s">
        <v>184</v>
      </c>
      <c r="Q4" s="120"/>
      <c r="R4" s="120"/>
      <c r="S4" s="120"/>
      <c r="T4" s="120"/>
      <c r="U4" s="121"/>
    </row>
    <row r="5" spans="2:21" x14ac:dyDescent="0.35">
      <c r="B5" s="9"/>
      <c r="G5" s="8"/>
      <c r="I5" s="9"/>
      <c r="N5" s="8"/>
      <c r="P5" s="9"/>
      <c r="U5" s="8"/>
    </row>
    <row r="6" spans="2:21" x14ac:dyDescent="0.35">
      <c r="B6" s="10"/>
      <c r="C6" s="124" t="s">
        <v>13</v>
      </c>
      <c r="D6" s="125"/>
      <c r="E6" s="124" t="s">
        <v>14</v>
      </c>
      <c r="F6" s="125"/>
      <c r="G6" s="5" t="s">
        <v>6</v>
      </c>
      <c r="I6" s="10"/>
      <c r="J6" s="124" t="s">
        <v>13</v>
      </c>
      <c r="K6" s="125"/>
      <c r="L6" s="124" t="s">
        <v>14</v>
      </c>
      <c r="M6" s="125"/>
      <c r="N6" s="5" t="s">
        <v>6</v>
      </c>
      <c r="P6" s="10"/>
      <c r="Q6" s="124" t="s">
        <v>13</v>
      </c>
      <c r="R6" s="125"/>
      <c r="S6" s="124" t="s">
        <v>14</v>
      </c>
      <c r="T6" s="125"/>
      <c r="U6" s="5" t="s">
        <v>6</v>
      </c>
    </row>
    <row r="7" spans="2:21" x14ac:dyDescent="0.35">
      <c r="B7" s="5" t="s">
        <v>10</v>
      </c>
      <c r="C7" s="5" t="s">
        <v>2</v>
      </c>
      <c r="D7" s="5" t="s">
        <v>1</v>
      </c>
      <c r="E7" s="5" t="s">
        <v>11</v>
      </c>
      <c r="F7" s="5" t="s">
        <v>1</v>
      </c>
      <c r="G7" s="5" t="s">
        <v>15</v>
      </c>
      <c r="I7" s="5" t="s">
        <v>10</v>
      </c>
      <c r="J7" s="5" t="s">
        <v>2</v>
      </c>
      <c r="K7" s="5" t="s">
        <v>1</v>
      </c>
      <c r="L7" s="5" t="s">
        <v>11</v>
      </c>
      <c r="M7" s="5" t="s">
        <v>1</v>
      </c>
      <c r="N7" s="5" t="s">
        <v>15</v>
      </c>
      <c r="P7" s="5" t="s">
        <v>10</v>
      </c>
      <c r="Q7" s="5" t="s">
        <v>2</v>
      </c>
      <c r="R7" s="5" t="s">
        <v>1</v>
      </c>
      <c r="S7" s="5" t="s">
        <v>11</v>
      </c>
      <c r="T7" s="5" t="s">
        <v>1</v>
      </c>
      <c r="U7" s="5" t="s">
        <v>15</v>
      </c>
    </row>
    <row r="8" spans="2:21" x14ac:dyDescent="0.35">
      <c r="B8" s="7" t="s">
        <v>61</v>
      </c>
      <c r="C8" s="7">
        <v>5.5</v>
      </c>
      <c r="D8" s="7" t="s">
        <v>17</v>
      </c>
      <c r="E8" s="5">
        <f>Recipes!N19</f>
        <v>3.3574516898448738E-2</v>
      </c>
      <c r="F8" s="5" t="str">
        <f>D8</f>
        <v>Oz</v>
      </c>
      <c r="G8" s="5">
        <f>C8*E8</f>
        <v>0.18465984294146806</v>
      </c>
      <c r="I8" s="7" t="s">
        <v>61</v>
      </c>
      <c r="J8" s="7">
        <v>14</v>
      </c>
      <c r="K8" s="7" t="s">
        <v>17</v>
      </c>
      <c r="L8" s="5">
        <f>Recipes!N19</f>
        <v>3.3574516898448738E-2</v>
      </c>
      <c r="M8" s="5" t="str">
        <f>K8</f>
        <v>Oz</v>
      </c>
      <c r="N8" s="5">
        <f>J8*L8</f>
        <v>0.47004323657828234</v>
      </c>
      <c r="P8" s="7" t="s">
        <v>86</v>
      </c>
      <c r="Q8" s="7">
        <v>1.5</v>
      </c>
      <c r="R8" s="7" t="s">
        <v>17</v>
      </c>
      <c r="S8" s="5">
        <f>Pizza!E28</f>
        <v>0.29696428571428574</v>
      </c>
      <c r="T8" s="5" t="str">
        <f>R8</f>
        <v>Oz</v>
      </c>
      <c r="U8" s="5">
        <f>Q8*S8</f>
        <v>0.44544642857142858</v>
      </c>
    </row>
    <row r="9" spans="2:21" x14ac:dyDescent="0.35">
      <c r="B9" s="7" t="s">
        <v>22</v>
      </c>
      <c r="C9" s="7">
        <v>5.75</v>
      </c>
      <c r="D9" s="7" t="s">
        <v>17</v>
      </c>
      <c r="E9" s="5">
        <f>S18</f>
        <v>0.18312500000000001</v>
      </c>
      <c r="F9" s="5" t="str">
        <f t="shared" ref="F9:F13" si="0">D9</f>
        <v>Oz</v>
      </c>
      <c r="G9" s="5">
        <f t="shared" ref="G9:G13" si="1">C9*E9</f>
        <v>1.05296875</v>
      </c>
      <c r="I9" s="7" t="s">
        <v>22</v>
      </c>
      <c r="J9" s="7">
        <v>17.25</v>
      </c>
      <c r="K9" s="7" t="s">
        <v>17</v>
      </c>
      <c r="L9" s="5">
        <f>S48</f>
        <v>0.18312500000000001</v>
      </c>
      <c r="M9" s="5" t="str">
        <f t="shared" ref="M9:M13" si="2">K9</f>
        <v>Oz</v>
      </c>
      <c r="N9" s="5">
        <f t="shared" ref="N9:N13" si="3">J9*L9</f>
        <v>3.1589062500000002</v>
      </c>
      <c r="P9" s="7" t="s">
        <v>87</v>
      </c>
      <c r="Q9" s="7">
        <v>0.875</v>
      </c>
      <c r="R9" s="7" t="s">
        <v>17</v>
      </c>
      <c r="S9" s="5">
        <f>Pizza!E29</f>
        <v>0.27918750000000003</v>
      </c>
      <c r="T9" s="5" t="str">
        <f t="shared" ref="T9:T25" si="4">R9</f>
        <v>Oz</v>
      </c>
      <c r="U9" s="5">
        <f t="shared" ref="U9:U25" si="5">Q9*S9</f>
        <v>0.24428906250000004</v>
      </c>
    </row>
    <row r="10" spans="2:21" x14ac:dyDescent="0.35">
      <c r="B10" s="7" t="s">
        <v>88</v>
      </c>
      <c r="C10" s="7">
        <f>Q11</f>
        <v>2</v>
      </c>
      <c r="D10" s="7" t="s">
        <v>128</v>
      </c>
      <c r="E10" s="5">
        <f>S11</f>
        <v>0.23137019230769232</v>
      </c>
      <c r="F10" s="5" t="str">
        <f t="shared" si="0"/>
        <v>Slice</v>
      </c>
      <c r="G10" s="5">
        <f t="shared" si="1"/>
        <v>0.46274038461538464</v>
      </c>
      <c r="I10" s="7" t="s">
        <v>88</v>
      </c>
      <c r="J10" s="7">
        <f>Q41</f>
        <v>5</v>
      </c>
      <c r="K10" s="7" t="s">
        <v>128</v>
      </c>
      <c r="L10" s="5">
        <f>S11</f>
        <v>0.23137019230769232</v>
      </c>
      <c r="M10" s="5" t="str">
        <f t="shared" si="2"/>
        <v>Slice</v>
      </c>
      <c r="N10" s="5">
        <f t="shared" si="3"/>
        <v>1.1568509615384617</v>
      </c>
      <c r="P10" s="7" t="s">
        <v>28</v>
      </c>
      <c r="Q10" s="7">
        <v>1.125</v>
      </c>
      <c r="R10" s="7" t="s">
        <v>17</v>
      </c>
      <c r="S10" s="5">
        <f>Pizza!E30</f>
        <v>0.46875</v>
      </c>
      <c r="T10" s="5" t="str">
        <f t="shared" si="4"/>
        <v>Oz</v>
      </c>
      <c r="U10" s="5">
        <f t="shared" si="5"/>
        <v>0.52734375</v>
      </c>
    </row>
    <row r="11" spans="2:21" x14ac:dyDescent="0.35">
      <c r="B11" s="7" t="s">
        <v>86</v>
      </c>
      <c r="C11" s="7">
        <f>Q8</f>
        <v>1.5</v>
      </c>
      <c r="D11" s="7" t="s">
        <v>17</v>
      </c>
      <c r="E11" s="5">
        <f>S8</f>
        <v>0.29696428571428574</v>
      </c>
      <c r="F11" s="5" t="str">
        <f t="shared" si="0"/>
        <v>Oz</v>
      </c>
      <c r="G11" s="5">
        <f t="shared" si="1"/>
        <v>0.44544642857142858</v>
      </c>
      <c r="I11" s="7" t="s">
        <v>86</v>
      </c>
      <c r="J11" s="7">
        <f>Q38</f>
        <v>3.5</v>
      </c>
      <c r="K11" s="7" t="s">
        <v>17</v>
      </c>
      <c r="L11" s="5">
        <f>S8</f>
        <v>0.29696428571428574</v>
      </c>
      <c r="M11" s="5" t="str">
        <f t="shared" si="2"/>
        <v>Oz</v>
      </c>
      <c r="N11" s="5">
        <f t="shared" si="3"/>
        <v>1.0393750000000002</v>
      </c>
      <c r="P11" s="7" t="s">
        <v>88</v>
      </c>
      <c r="Q11" s="7">
        <v>2</v>
      </c>
      <c r="R11" s="7" t="s">
        <v>128</v>
      </c>
      <c r="S11" s="5">
        <f>Pizza!E31</f>
        <v>0.23137019230769232</v>
      </c>
      <c r="T11" s="5" t="str">
        <f t="shared" si="4"/>
        <v>Slice</v>
      </c>
      <c r="U11" s="5">
        <f t="shared" si="5"/>
        <v>0.46274038461538464</v>
      </c>
    </row>
    <row r="12" spans="2:21" x14ac:dyDescent="0.35">
      <c r="B12" s="7" t="s">
        <v>311</v>
      </c>
      <c r="C12" s="7">
        <v>1</v>
      </c>
      <c r="D12" s="7" t="s">
        <v>103</v>
      </c>
      <c r="E12" s="5">
        <f>Sides!N3</f>
        <v>0.23005391524502131</v>
      </c>
      <c r="F12" s="5" t="str">
        <f t="shared" ref="F12" si="6">D12</f>
        <v>4-oz side</v>
      </c>
      <c r="G12" s="5">
        <f t="shared" ref="G12" si="7">C12*E12</f>
        <v>0.23005391524502131</v>
      </c>
      <c r="I12" s="7" t="s">
        <v>311</v>
      </c>
      <c r="J12" s="7">
        <v>1</v>
      </c>
      <c r="K12" s="7" t="s">
        <v>103</v>
      </c>
      <c r="L12" s="5">
        <f>Sides!N3</f>
        <v>0.23005391524502131</v>
      </c>
      <c r="M12" s="5" t="str">
        <f t="shared" ref="M12" si="8">K12</f>
        <v>4-oz side</v>
      </c>
      <c r="N12" s="5">
        <f t="shared" ref="N12" si="9">J12*L12</f>
        <v>0.23005391524502131</v>
      </c>
      <c r="P12" s="7" t="s">
        <v>89</v>
      </c>
      <c r="Q12" s="7">
        <v>1.75</v>
      </c>
      <c r="R12" s="7" t="s">
        <v>17</v>
      </c>
      <c r="S12" s="5">
        <f>Pizza!E32</f>
        <v>0.28749999999999998</v>
      </c>
      <c r="T12" s="5" t="str">
        <f t="shared" si="4"/>
        <v>Oz</v>
      </c>
      <c r="U12" s="5">
        <f t="shared" si="5"/>
        <v>0.50312499999999993</v>
      </c>
    </row>
    <row r="13" spans="2:21" x14ac:dyDescent="0.35">
      <c r="B13" s="7" t="s">
        <v>182</v>
      </c>
      <c r="C13" s="7">
        <v>1</v>
      </c>
      <c r="D13" s="7" t="s">
        <v>73</v>
      </c>
      <c r="E13" s="5">
        <f>'Paper Product Prices'!H18</f>
        <v>0.1149</v>
      </c>
      <c r="F13" s="5" t="str">
        <f t="shared" si="0"/>
        <v>Box</v>
      </c>
      <c r="G13" s="5">
        <f t="shared" si="1"/>
        <v>0.1149</v>
      </c>
      <c r="I13" s="7" t="s">
        <v>181</v>
      </c>
      <c r="J13" s="7">
        <v>1</v>
      </c>
      <c r="K13" s="7" t="s">
        <v>73</v>
      </c>
      <c r="L13" s="5">
        <f>'Paper Product Prices'!H8</f>
        <v>0.30980000000000002</v>
      </c>
      <c r="M13" s="5" t="str">
        <f t="shared" si="2"/>
        <v>Box</v>
      </c>
      <c r="N13" s="5">
        <f t="shared" si="3"/>
        <v>0.30980000000000002</v>
      </c>
      <c r="P13" s="7" t="s">
        <v>94</v>
      </c>
      <c r="Q13" s="7">
        <v>4</v>
      </c>
      <c r="R13" s="7" t="s">
        <v>128</v>
      </c>
      <c r="S13" s="5">
        <f>Pizza!E33</f>
        <v>0.11081654294803818</v>
      </c>
      <c r="T13" s="5" t="str">
        <f t="shared" si="4"/>
        <v>Slice</v>
      </c>
      <c r="U13" s="5">
        <f t="shared" si="5"/>
        <v>0.44326617179215272</v>
      </c>
    </row>
    <row r="14" spans="2:21" x14ac:dyDescent="0.35">
      <c r="B14" s="7" t="s">
        <v>183</v>
      </c>
      <c r="C14" s="7">
        <v>1</v>
      </c>
      <c r="D14" s="7" t="s">
        <v>74</v>
      </c>
      <c r="E14" s="5">
        <f>'Paper Product Prices'!J26</f>
        <v>7.7483333333333336E-3</v>
      </c>
      <c r="F14" s="5" t="str">
        <f>D14</f>
        <v>Paper</v>
      </c>
      <c r="G14" s="5">
        <f>C14*E14</f>
        <v>7.7483333333333336E-3</v>
      </c>
      <c r="I14" s="7" t="s">
        <v>130</v>
      </c>
      <c r="J14" s="7">
        <v>1</v>
      </c>
      <c r="K14" s="7" t="s">
        <v>74</v>
      </c>
      <c r="L14" s="5">
        <f>'Paper Product Prices'!L3</f>
        <v>1.8434374999999999E-2</v>
      </c>
      <c r="M14" s="5" t="str">
        <f>K14</f>
        <v>Paper</v>
      </c>
      <c r="N14" s="5">
        <f>J14*L14</f>
        <v>1.8434374999999999E-2</v>
      </c>
      <c r="P14" s="7" t="s">
        <v>324</v>
      </c>
      <c r="Q14" s="7">
        <v>4.75</v>
      </c>
      <c r="R14" s="7" t="s">
        <v>17</v>
      </c>
      <c r="S14" s="5">
        <f>Pizza!E34</f>
        <v>0.126546875</v>
      </c>
      <c r="T14" s="5" t="str">
        <f t="shared" si="4"/>
        <v>Oz</v>
      </c>
      <c r="U14" s="5">
        <f t="shared" si="5"/>
        <v>0.60109765625</v>
      </c>
    </row>
    <row r="15" spans="2:21" x14ac:dyDescent="0.35">
      <c r="P15" s="7" t="s">
        <v>96</v>
      </c>
      <c r="Q15" s="7">
        <v>1</v>
      </c>
      <c r="R15" s="7" t="s">
        <v>96</v>
      </c>
      <c r="S15" s="5">
        <f>Pizza!E35</f>
        <v>1.625</v>
      </c>
      <c r="T15" s="5" t="str">
        <f t="shared" si="4"/>
        <v>Steak</v>
      </c>
      <c r="U15" s="5">
        <f t="shared" si="5"/>
        <v>1.625</v>
      </c>
    </row>
    <row r="16" spans="2:21" ht="15.5" x14ac:dyDescent="0.35">
      <c r="B16" s="119" t="s">
        <v>186</v>
      </c>
      <c r="C16" s="120"/>
      <c r="D16" s="121"/>
      <c r="E16" s="122" t="s">
        <v>7</v>
      </c>
      <c r="F16" s="123"/>
      <c r="G16" s="30">
        <f>SUM(G20:G26)</f>
        <v>3.5786781972890536</v>
      </c>
      <c r="I16" s="119" t="s">
        <v>187</v>
      </c>
      <c r="J16" s="120"/>
      <c r="K16" s="121"/>
      <c r="L16" s="122" t="s">
        <v>7</v>
      </c>
      <c r="M16" s="123"/>
      <c r="N16" s="30">
        <f>SUM(N20:N26)</f>
        <v>7.6572377768233029</v>
      </c>
      <c r="P16" s="7" t="s">
        <v>97</v>
      </c>
      <c r="Q16" s="7">
        <v>1</v>
      </c>
      <c r="R16" s="7" t="s">
        <v>97</v>
      </c>
      <c r="S16" s="5">
        <f>Pizza!E36</f>
        <v>0.66589814357847965</v>
      </c>
      <c r="T16" s="5" t="str">
        <f t="shared" si="4"/>
        <v>Meatball</v>
      </c>
      <c r="U16" s="5">
        <f t="shared" si="5"/>
        <v>0.66589814357847965</v>
      </c>
    </row>
    <row r="17" spans="2:21" x14ac:dyDescent="0.35">
      <c r="B17" s="9"/>
      <c r="G17" s="8"/>
      <c r="I17" s="9"/>
      <c r="N17" s="8"/>
      <c r="P17" s="7" t="s">
        <v>98</v>
      </c>
      <c r="Q17" s="7">
        <v>0.5</v>
      </c>
      <c r="R17" s="7" t="s">
        <v>226</v>
      </c>
      <c r="S17" s="5">
        <f>Pizza!E37</f>
        <v>1.9321249999999999</v>
      </c>
      <c r="T17" s="5" t="str">
        <f t="shared" si="4"/>
        <v>Patty</v>
      </c>
      <c r="U17" s="5">
        <f t="shared" si="5"/>
        <v>0.96606249999999994</v>
      </c>
    </row>
    <row r="18" spans="2:21" x14ac:dyDescent="0.35">
      <c r="B18" s="10"/>
      <c r="C18" s="124" t="s">
        <v>13</v>
      </c>
      <c r="D18" s="125"/>
      <c r="E18" s="124" t="s">
        <v>14</v>
      </c>
      <c r="F18" s="125"/>
      <c r="G18" s="5" t="s">
        <v>6</v>
      </c>
      <c r="I18" s="10"/>
      <c r="J18" s="124" t="s">
        <v>13</v>
      </c>
      <c r="K18" s="125"/>
      <c r="L18" s="124" t="s">
        <v>14</v>
      </c>
      <c r="M18" s="125"/>
      <c r="N18" s="5" t="s">
        <v>6</v>
      </c>
      <c r="P18" s="7" t="s">
        <v>106</v>
      </c>
      <c r="Q18" s="7">
        <v>3.125</v>
      </c>
      <c r="R18" s="7" t="s">
        <v>17</v>
      </c>
      <c r="S18" s="5">
        <f>Pizza!E38</f>
        <v>0.18312500000000001</v>
      </c>
      <c r="T18" s="5" t="str">
        <f t="shared" si="4"/>
        <v>Oz</v>
      </c>
      <c r="U18" s="5">
        <f t="shared" si="5"/>
        <v>0.572265625</v>
      </c>
    </row>
    <row r="19" spans="2:21" x14ac:dyDescent="0.35">
      <c r="B19" s="5" t="s">
        <v>10</v>
      </c>
      <c r="C19" s="5" t="s">
        <v>2</v>
      </c>
      <c r="D19" s="5" t="s">
        <v>1</v>
      </c>
      <c r="E19" s="5" t="s">
        <v>11</v>
      </c>
      <c r="F19" s="5" t="s">
        <v>1</v>
      </c>
      <c r="G19" s="5" t="s">
        <v>15</v>
      </c>
      <c r="I19" s="5" t="s">
        <v>10</v>
      </c>
      <c r="J19" s="5" t="s">
        <v>2</v>
      </c>
      <c r="K19" s="5" t="s">
        <v>1</v>
      </c>
      <c r="L19" s="5" t="s">
        <v>11</v>
      </c>
      <c r="M19" s="5" t="s">
        <v>1</v>
      </c>
      <c r="N19" s="5" t="s">
        <v>15</v>
      </c>
      <c r="P19" s="7" t="s">
        <v>82</v>
      </c>
      <c r="Q19" s="7">
        <v>2.125</v>
      </c>
      <c r="R19" s="7" t="s">
        <v>17</v>
      </c>
      <c r="S19" s="5">
        <f>Pizza!E39</f>
        <v>0.15625</v>
      </c>
      <c r="T19" s="5" t="str">
        <f t="shared" si="4"/>
        <v>Oz</v>
      </c>
      <c r="U19" s="5">
        <f t="shared" si="5"/>
        <v>0.33203125</v>
      </c>
    </row>
    <row r="20" spans="2:21" x14ac:dyDescent="0.35">
      <c r="B20" s="7" t="s">
        <v>61</v>
      </c>
      <c r="C20" s="7">
        <v>5.5</v>
      </c>
      <c r="D20" s="7" t="s">
        <v>17</v>
      </c>
      <c r="E20" s="5">
        <f>E8</f>
        <v>3.3574516898448738E-2</v>
      </c>
      <c r="F20" s="5" t="str">
        <f>D20</f>
        <v>Oz</v>
      </c>
      <c r="G20" s="5">
        <f>C20*E20</f>
        <v>0.18465984294146806</v>
      </c>
      <c r="I20" s="7" t="s">
        <v>61</v>
      </c>
      <c r="J20" s="7">
        <v>14</v>
      </c>
      <c r="K20" s="7" t="s">
        <v>17</v>
      </c>
      <c r="L20" s="5">
        <f>L8</f>
        <v>3.3574516898448738E-2</v>
      </c>
      <c r="M20" s="5" t="str">
        <f>K20</f>
        <v>Oz</v>
      </c>
      <c r="N20" s="5">
        <f>J20*L20</f>
        <v>0.47004323657828234</v>
      </c>
      <c r="P20" s="7"/>
      <c r="Q20" s="7"/>
      <c r="R20" s="7"/>
      <c r="S20" s="5"/>
      <c r="T20" s="5"/>
      <c r="U20" s="5"/>
    </row>
    <row r="21" spans="2:21" x14ac:dyDescent="0.35">
      <c r="B21" s="7" t="s">
        <v>22</v>
      </c>
      <c r="C21" s="7">
        <f>C9</f>
        <v>5.75</v>
      </c>
      <c r="D21" s="7" t="s">
        <v>17</v>
      </c>
      <c r="E21" s="5">
        <f>S11</f>
        <v>0.23137019230769232</v>
      </c>
      <c r="F21" s="5" t="str">
        <f t="shared" ref="F21:F25" si="10">D21</f>
        <v>Oz</v>
      </c>
      <c r="G21" s="5">
        <f t="shared" ref="G21:G25" si="11">C21*E21</f>
        <v>1.3303786057692308</v>
      </c>
      <c r="I21" s="7" t="s">
        <v>22</v>
      </c>
      <c r="J21" s="7">
        <f>J9</f>
        <v>17.25</v>
      </c>
      <c r="K21" s="7" t="s">
        <v>17</v>
      </c>
      <c r="L21" s="5">
        <f>S48</f>
        <v>0.18312500000000001</v>
      </c>
      <c r="M21" s="5" t="str">
        <f t="shared" ref="M21:M25" si="12">K21</f>
        <v>Oz</v>
      </c>
      <c r="N21" s="5">
        <f t="shared" ref="N21:N25" si="13">J21*L21</f>
        <v>3.1589062500000002</v>
      </c>
      <c r="P21" s="7" t="s">
        <v>90</v>
      </c>
      <c r="Q21" s="7">
        <v>1.5</v>
      </c>
      <c r="R21" s="7" t="s">
        <v>17</v>
      </c>
      <c r="S21" s="5">
        <f>Pizza!E41</f>
        <v>0.12362903225806451</v>
      </c>
      <c r="T21" s="5" t="str">
        <f t="shared" si="4"/>
        <v>Oz</v>
      </c>
      <c r="U21" s="5">
        <f t="shared" si="5"/>
        <v>0.18544354838709676</v>
      </c>
    </row>
    <row r="22" spans="2:21" x14ac:dyDescent="0.35">
      <c r="B22" s="7" t="s">
        <v>96</v>
      </c>
      <c r="C22" s="7">
        <f>Q15</f>
        <v>1</v>
      </c>
      <c r="D22" s="7" t="s">
        <v>96</v>
      </c>
      <c r="E22" s="5">
        <f>S15</f>
        <v>1.625</v>
      </c>
      <c r="F22" s="5" t="str">
        <f t="shared" si="10"/>
        <v>Steak</v>
      </c>
      <c r="G22" s="5">
        <f t="shared" si="11"/>
        <v>1.625</v>
      </c>
      <c r="I22" s="7" t="s">
        <v>96</v>
      </c>
      <c r="J22" s="7">
        <f>Q45</f>
        <v>2</v>
      </c>
      <c r="K22" s="7" t="s">
        <v>96</v>
      </c>
      <c r="L22" s="5">
        <f>S45</f>
        <v>1.625</v>
      </c>
      <c r="M22" s="5" t="str">
        <f t="shared" si="12"/>
        <v>Steak</v>
      </c>
      <c r="N22" s="5">
        <f t="shared" si="13"/>
        <v>3.25</v>
      </c>
      <c r="P22" s="7" t="s">
        <v>91</v>
      </c>
      <c r="Q22" s="7">
        <v>1</v>
      </c>
      <c r="R22" s="7" t="s">
        <v>17</v>
      </c>
      <c r="S22" s="5">
        <f>Pizza!E42</f>
        <v>0.11374999999999999</v>
      </c>
      <c r="T22" s="5" t="str">
        <f t="shared" si="4"/>
        <v>Oz</v>
      </c>
      <c r="U22" s="5">
        <f t="shared" si="5"/>
        <v>0.11374999999999999</v>
      </c>
    </row>
    <row r="23" spans="2:21" x14ac:dyDescent="0.35">
      <c r="B23" s="7" t="s">
        <v>92</v>
      </c>
      <c r="C23" s="7">
        <v>3.125</v>
      </c>
      <c r="D23" s="7" t="s">
        <v>17</v>
      </c>
      <c r="E23" s="5">
        <f>S23</f>
        <v>2.75E-2</v>
      </c>
      <c r="F23" s="5" t="str">
        <f t="shared" si="10"/>
        <v>Oz</v>
      </c>
      <c r="G23" s="5">
        <f t="shared" si="11"/>
        <v>8.59375E-2</v>
      </c>
      <c r="I23" s="7" t="s">
        <v>92</v>
      </c>
      <c r="J23" s="7">
        <v>8</v>
      </c>
      <c r="K23" s="7" t="s">
        <v>17</v>
      </c>
      <c r="L23" s="5">
        <f>S53</f>
        <v>2.75E-2</v>
      </c>
      <c r="M23" s="5" t="str">
        <f t="shared" si="12"/>
        <v>Oz</v>
      </c>
      <c r="N23" s="5">
        <f t="shared" si="13"/>
        <v>0.22</v>
      </c>
      <c r="P23" s="7" t="s">
        <v>92</v>
      </c>
      <c r="Q23" s="7">
        <v>1</v>
      </c>
      <c r="R23" s="7" t="s">
        <v>17</v>
      </c>
      <c r="S23" s="5">
        <f>Pizza!E43</f>
        <v>2.75E-2</v>
      </c>
      <c r="T23" s="5" t="str">
        <f t="shared" si="4"/>
        <v>Oz</v>
      </c>
      <c r="U23" s="5">
        <f t="shared" si="5"/>
        <v>2.75E-2</v>
      </c>
    </row>
    <row r="24" spans="2:21" x14ac:dyDescent="0.35">
      <c r="B24" s="7" t="s">
        <v>311</v>
      </c>
      <c r="C24" s="7">
        <v>1</v>
      </c>
      <c r="D24" s="7" t="s">
        <v>103</v>
      </c>
      <c r="E24" s="5">
        <f>E12</f>
        <v>0.23005391524502131</v>
      </c>
      <c r="F24" s="5" t="str">
        <f t="shared" si="10"/>
        <v>4-oz side</v>
      </c>
      <c r="G24" s="5">
        <f t="shared" si="11"/>
        <v>0.23005391524502131</v>
      </c>
      <c r="I24" s="7" t="s">
        <v>311</v>
      </c>
      <c r="J24" s="7">
        <v>1</v>
      </c>
      <c r="K24" s="7" t="s">
        <v>103</v>
      </c>
      <c r="L24" s="5">
        <f>L12</f>
        <v>0.23005391524502131</v>
      </c>
      <c r="M24" s="5" t="str">
        <f t="shared" si="12"/>
        <v>4-oz side</v>
      </c>
      <c r="N24" s="5">
        <f t="shared" si="13"/>
        <v>0.23005391524502131</v>
      </c>
      <c r="P24" s="7" t="s">
        <v>93</v>
      </c>
      <c r="Q24" s="7">
        <v>1.125</v>
      </c>
      <c r="R24" s="7" t="s">
        <v>17</v>
      </c>
      <c r="S24" s="5">
        <f>Pizza!E44</f>
        <v>0.13027272727272726</v>
      </c>
      <c r="T24" s="5" t="str">
        <f t="shared" si="4"/>
        <v>Oz</v>
      </c>
      <c r="U24" s="5">
        <f t="shared" si="5"/>
        <v>0.14655681818181818</v>
      </c>
    </row>
    <row r="25" spans="2:21" x14ac:dyDescent="0.35">
      <c r="B25" s="7" t="s">
        <v>182</v>
      </c>
      <c r="C25" s="7">
        <v>1</v>
      </c>
      <c r="D25" s="7" t="s">
        <v>73</v>
      </c>
      <c r="E25" s="5">
        <f>E13</f>
        <v>0.1149</v>
      </c>
      <c r="F25" s="5" t="str">
        <f t="shared" si="10"/>
        <v>Box</v>
      </c>
      <c r="G25" s="5">
        <f t="shared" si="11"/>
        <v>0.1149</v>
      </c>
      <c r="I25" s="7" t="s">
        <v>181</v>
      </c>
      <c r="J25" s="7">
        <v>1</v>
      </c>
      <c r="K25" s="7" t="s">
        <v>73</v>
      </c>
      <c r="L25" s="5">
        <f t="shared" ref="L25:L26" si="14">L13</f>
        <v>0.30980000000000002</v>
      </c>
      <c r="M25" s="5" t="str">
        <f t="shared" si="12"/>
        <v>Box</v>
      </c>
      <c r="N25" s="5">
        <f t="shared" si="13"/>
        <v>0.30980000000000002</v>
      </c>
      <c r="P25" s="7" t="s">
        <v>107</v>
      </c>
      <c r="Q25" s="7">
        <v>0.875</v>
      </c>
      <c r="R25" s="7" t="s">
        <v>17</v>
      </c>
      <c r="S25" s="5">
        <f>Pizza!E45</f>
        <v>0.113375</v>
      </c>
      <c r="T25" s="5" t="str">
        <f t="shared" si="4"/>
        <v>Oz</v>
      </c>
      <c r="U25" s="5">
        <f t="shared" si="5"/>
        <v>9.9203125000000003E-2</v>
      </c>
    </row>
    <row r="26" spans="2:21" x14ac:dyDescent="0.35">
      <c r="B26" s="7" t="s">
        <v>183</v>
      </c>
      <c r="C26" s="7">
        <v>1</v>
      </c>
      <c r="D26" s="7" t="s">
        <v>74</v>
      </c>
      <c r="E26" s="5">
        <f>E14</f>
        <v>7.7483333333333336E-3</v>
      </c>
      <c r="F26" s="5" t="str">
        <f>D26</f>
        <v>Paper</v>
      </c>
      <c r="G26" s="5">
        <f>C26*E26</f>
        <v>7.7483333333333336E-3</v>
      </c>
      <c r="I26" s="7" t="s">
        <v>130</v>
      </c>
      <c r="J26" s="7">
        <v>1</v>
      </c>
      <c r="K26" s="7" t="s">
        <v>74</v>
      </c>
      <c r="L26" s="5">
        <f t="shared" si="14"/>
        <v>1.8434374999999999E-2</v>
      </c>
      <c r="M26" s="5" t="str">
        <f>K26</f>
        <v>Paper</v>
      </c>
      <c r="N26" s="5">
        <f>J26*L26</f>
        <v>1.8434374999999999E-2</v>
      </c>
      <c r="P26" s="7" t="s">
        <v>225</v>
      </c>
      <c r="Q26" s="7">
        <v>1.75</v>
      </c>
      <c r="R26" s="7" t="s">
        <v>17</v>
      </c>
      <c r="S26" s="5">
        <f>Pizza!E46</f>
        <v>8.9804687499999994E-2</v>
      </c>
      <c r="T26" s="5" t="str">
        <f t="shared" ref="T26" si="15">R26</f>
        <v>Oz</v>
      </c>
      <c r="U26" s="5">
        <f t="shared" ref="U26" si="16">Q26*S26</f>
        <v>0.15715820312499998</v>
      </c>
    </row>
    <row r="27" spans="2:21" x14ac:dyDescent="0.35">
      <c r="P27" s="7" t="s">
        <v>105</v>
      </c>
      <c r="Q27" s="7">
        <v>1.5</v>
      </c>
      <c r="R27" s="7" t="s">
        <v>17</v>
      </c>
      <c r="S27" s="5">
        <f>Pizza!E47</f>
        <v>0.11359848484848484</v>
      </c>
      <c r="T27" s="5" t="str">
        <f>R27</f>
        <v>Oz</v>
      </c>
      <c r="U27" s="5">
        <f>Q27*S27</f>
        <v>0.17039772727272726</v>
      </c>
    </row>
    <row r="28" spans="2:21" ht="15.5" x14ac:dyDescent="0.35">
      <c r="B28" s="119" t="s">
        <v>190</v>
      </c>
      <c r="C28" s="120"/>
      <c r="D28" s="121"/>
      <c r="E28" s="122" t="s">
        <v>7</v>
      </c>
      <c r="F28" s="123"/>
      <c r="G28" s="30">
        <f>SUM(G32:G41)</f>
        <v>2.4401941888579688</v>
      </c>
      <c r="I28" s="119" t="s">
        <v>189</v>
      </c>
      <c r="J28" s="120"/>
      <c r="K28" s="121"/>
      <c r="L28" s="122" t="s">
        <v>7</v>
      </c>
      <c r="M28" s="123"/>
      <c r="N28" s="30">
        <f>SUM(N32:N41)</f>
        <v>6.35325628855351</v>
      </c>
      <c r="P28" s="7" t="s">
        <v>100</v>
      </c>
      <c r="Q28" s="7">
        <v>2.5</v>
      </c>
      <c r="R28" s="7" t="s">
        <v>17</v>
      </c>
      <c r="S28" s="5">
        <f>Pizza!E48</f>
        <v>5.5732087227414337E-2</v>
      </c>
      <c r="T28" s="5" t="str">
        <f>R28</f>
        <v>Oz</v>
      </c>
      <c r="U28" s="5">
        <f>Q28*S28</f>
        <v>0.13933021806853585</v>
      </c>
    </row>
    <row r="29" spans="2:21" x14ac:dyDescent="0.35">
      <c r="B29" s="9"/>
      <c r="G29" s="8"/>
      <c r="I29" s="9"/>
      <c r="N29" s="8"/>
      <c r="P29" s="7" t="s">
        <v>154</v>
      </c>
      <c r="Q29" s="7">
        <v>1.47</v>
      </c>
      <c r="R29" s="7" t="s">
        <v>17</v>
      </c>
      <c r="S29" s="5">
        <f>Pizza!E49</f>
        <v>0.1</v>
      </c>
      <c r="T29" s="5" t="str">
        <f>R29</f>
        <v>Oz</v>
      </c>
      <c r="U29" s="5">
        <f>Q29*S29</f>
        <v>0.14699999999999999</v>
      </c>
    </row>
    <row r="30" spans="2:21" x14ac:dyDescent="0.35">
      <c r="B30" s="10"/>
      <c r="C30" s="124" t="s">
        <v>13</v>
      </c>
      <c r="D30" s="125"/>
      <c r="E30" s="124" t="s">
        <v>14</v>
      </c>
      <c r="F30" s="125"/>
      <c r="G30" s="5" t="s">
        <v>6</v>
      </c>
      <c r="I30" s="10"/>
      <c r="J30" s="124" t="s">
        <v>13</v>
      </c>
      <c r="K30" s="125"/>
      <c r="L30" s="124" t="s">
        <v>14</v>
      </c>
      <c r="M30" s="125"/>
      <c r="N30" s="5" t="s">
        <v>6</v>
      </c>
      <c r="P30" s="7"/>
      <c r="Q30" s="7"/>
      <c r="R30" s="7"/>
      <c r="S30" s="5"/>
      <c r="T30" s="5"/>
      <c r="U30" s="5"/>
    </row>
    <row r="31" spans="2:21" x14ac:dyDescent="0.35">
      <c r="B31" s="5" t="s">
        <v>10</v>
      </c>
      <c r="C31" s="5" t="s">
        <v>2</v>
      </c>
      <c r="D31" s="5" t="s">
        <v>1</v>
      </c>
      <c r="E31" s="5" t="s">
        <v>11</v>
      </c>
      <c r="F31" s="5" t="s">
        <v>1</v>
      </c>
      <c r="G31" s="5" t="s">
        <v>15</v>
      </c>
      <c r="I31" s="5" t="s">
        <v>10</v>
      </c>
      <c r="J31" s="5" t="s">
        <v>2</v>
      </c>
      <c r="K31" s="5" t="s">
        <v>1</v>
      </c>
      <c r="L31" s="5" t="s">
        <v>11</v>
      </c>
      <c r="M31" s="5" t="s">
        <v>1</v>
      </c>
      <c r="N31" s="5" t="s">
        <v>15</v>
      </c>
      <c r="P31" s="7" t="s">
        <v>109</v>
      </c>
      <c r="Q31" s="7">
        <v>0.25</v>
      </c>
      <c r="R31" s="7" t="s">
        <v>17</v>
      </c>
      <c r="S31" s="5">
        <f>Pizza!E51</f>
        <v>0</v>
      </c>
      <c r="T31" s="5" t="str">
        <f>R31</f>
        <v>Oz</v>
      </c>
      <c r="U31" s="5">
        <f>Q31*S31</f>
        <v>0</v>
      </c>
    </row>
    <row r="32" spans="2:21" x14ac:dyDescent="0.35">
      <c r="B32" s="7" t="s">
        <v>61</v>
      </c>
      <c r="C32" s="7">
        <v>5.5</v>
      </c>
      <c r="D32" s="7" t="s">
        <v>17</v>
      </c>
      <c r="E32" s="5">
        <f>E8</f>
        <v>3.3574516898448738E-2</v>
      </c>
      <c r="F32" s="5" t="str">
        <f>D32</f>
        <v>Oz</v>
      </c>
      <c r="G32" s="5">
        <f>C32*E32</f>
        <v>0.18465984294146806</v>
      </c>
      <c r="I32" s="7" t="s">
        <v>61</v>
      </c>
      <c r="J32" s="7">
        <v>14</v>
      </c>
      <c r="K32" s="7" t="s">
        <v>17</v>
      </c>
      <c r="L32" s="5">
        <f>L8</f>
        <v>3.3574516898448738E-2</v>
      </c>
      <c r="M32" s="5" t="str">
        <f>K32</f>
        <v>Oz</v>
      </c>
      <c r="N32" s="5">
        <f>J32*L32</f>
        <v>0.47004323657828234</v>
      </c>
      <c r="P32" s="7" t="s">
        <v>108</v>
      </c>
      <c r="Q32" s="7">
        <f>Pizza!C52/2</f>
        <v>6.25E-2</v>
      </c>
      <c r="R32" s="7" t="s">
        <v>17</v>
      </c>
      <c r="S32" s="5">
        <f>Pizza!E52</f>
        <v>4.3437499999999997E-2</v>
      </c>
      <c r="T32" s="5" t="str">
        <f>R32</f>
        <v>Oz</v>
      </c>
      <c r="U32" s="5">
        <f>Q32*S32</f>
        <v>2.7148437499999998E-3</v>
      </c>
    </row>
    <row r="33" spans="2:21" x14ac:dyDescent="0.35">
      <c r="B33" s="7" t="s">
        <v>22</v>
      </c>
      <c r="C33" s="7">
        <f>C9</f>
        <v>5.75</v>
      </c>
      <c r="D33" s="7" t="s">
        <v>17</v>
      </c>
      <c r="E33" s="86">
        <f>S11</f>
        <v>0.23137019230769232</v>
      </c>
      <c r="F33" s="5" t="str">
        <f t="shared" ref="F33:F36" si="17">D33</f>
        <v>Oz</v>
      </c>
      <c r="G33" s="5">
        <f t="shared" ref="G33:G36" si="18">C33*E33</f>
        <v>1.3303786057692308</v>
      </c>
      <c r="I33" s="7" t="s">
        <v>22</v>
      </c>
      <c r="J33" s="7">
        <f>J9</f>
        <v>17.25</v>
      </c>
      <c r="K33" s="7" t="s">
        <v>17</v>
      </c>
      <c r="L33" s="86">
        <f>S48</f>
        <v>0.18312500000000001</v>
      </c>
      <c r="M33" s="5" t="str">
        <f t="shared" ref="M33:M36" si="19">K33</f>
        <v>Oz</v>
      </c>
      <c r="N33" s="5">
        <f t="shared" ref="N33:N36" si="20">J33*L33</f>
        <v>3.1589062500000002</v>
      </c>
    </row>
    <row r="34" spans="2:21" ht="15.5" x14ac:dyDescent="0.35">
      <c r="B34" s="7" t="s">
        <v>91</v>
      </c>
      <c r="C34" s="7">
        <f>Q22</f>
        <v>1</v>
      </c>
      <c r="D34" s="7" t="s">
        <v>17</v>
      </c>
      <c r="E34" s="86">
        <f t="shared" ref="E34" si="21">S22</f>
        <v>0.11374999999999999</v>
      </c>
      <c r="F34" s="5" t="str">
        <f t="shared" si="17"/>
        <v>Oz</v>
      </c>
      <c r="G34" s="5">
        <f t="shared" si="18"/>
        <v>0.11374999999999999</v>
      </c>
      <c r="I34" s="7" t="s">
        <v>91</v>
      </c>
      <c r="J34" s="7">
        <f>Q52</f>
        <v>4.375</v>
      </c>
      <c r="K34" s="7" t="s">
        <v>17</v>
      </c>
      <c r="L34" s="86">
        <f t="shared" ref="L34" si="22">S52</f>
        <v>0.11374999999999999</v>
      </c>
      <c r="M34" s="5" t="str">
        <f t="shared" si="19"/>
        <v>Oz</v>
      </c>
      <c r="N34" s="5">
        <f t="shared" si="20"/>
        <v>0.49765624999999997</v>
      </c>
      <c r="P34" s="119" t="s">
        <v>185</v>
      </c>
      <c r="Q34" s="120"/>
      <c r="R34" s="120"/>
      <c r="S34" s="120"/>
      <c r="T34" s="120"/>
      <c r="U34" s="121"/>
    </row>
    <row r="35" spans="2:21" x14ac:dyDescent="0.35">
      <c r="B35" s="7" t="s">
        <v>90</v>
      </c>
      <c r="C35" s="7">
        <f>Q21</f>
        <v>1.5</v>
      </c>
      <c r="D35" s="7" t="s">
        <v>17</v>
      </c>
      <c r="E35" s="86">
        <f t="shared" ref="E35" si="23">S21</f>
        <v>0.12362903225806451</v>
      </c>
      <c r="F35" s="5" t="str">
        <f t="shared" si="17"/>
        <v>Oz</v>
      </c>
      <c r="G35" s="5">
        <f t="shared" si="18"/>
        <v>0.18544354838709676</v>
      </c>
      <c r="I35" s="7" t="s">
        <v>90</v>
      </c>
      <c r="J35" s="7">
        <f>Q51</f>
        <v>6</v>
      </c>
      <c r="K35" s="7" t="s">
        <v>17</v>
      </c>
      <c r="L35" s="86">
        <f t="shared" ref="L35" si="24">S51</f>
        <v>0.12362903225806451</v>
      </c>
      <c r="M35" s="5" t="str">
        <f t="shared" si="19"/>
        <v>Oz</v>
      </c>
      <c r="N35" s="5">
        <f t="shared" si="20"/>
        <v>0.74177419354838703</v>
      </c>
      <c r="P35" s="9"/>
      <c r="U35" s="8"/>
    </row>
    <row r="36" spans="2:21" x14ac:dyDescent="0.35">
      <c r="B36" s="7" t="s">
        <v>92</v>
      </c>
      <c r="C36" s="7">
        <f>Q23</f>
        <v>1</v>
      </c>
      <c r="D36" s="7" t="s">
        <v>17</v>
      </c>
      <c r="E36" s="86">
        <f t="shared" ref="E36" si="25">S23</f>
        <v>2.75E-2</v>
      </c>
      <c r="F36" s="5" t="str">
        <f t="shared" si="17"/>
        <v>Oz</v>
      </c>
      <c r="G36" s="5">
        <f t="shared" si="18"/>
        <v>2.75E-2</v>
      </c>
      <c r="I36" s="7" t="s">
        <v>92</v>
      </c>
      <c r="J36" s="7">
        <f>Q53</f>
        <v>4</v>
      </c>
      <c r="K36" s="7" t="s">
        <v>17</v>
      </c>
      <c r="L36" s="86">
        <f t="shared" ref="L36" si="26">S53</f>
        <v>2.75E-2</v>
      </c>
      <c r="M36" s="5" t="str">
        <f t="shared" si="19"/>
        <v>Oz</v>
      </c>
      <c r="N36" s="5">
        <f t="shared" si="20"/>
        <v>0.11</v>
      </c>
      <c r="P36" s="10"/>
      <c r="Q36" s="83" t="s">
        <v>13</v>
      </c>
      <c r="R36" s="84"/>
      <c r="S36" s="124" t="s">
        <v>14</v>
      </c>
      <c r="T36" s="125"/>
      <c r="U36" s="5" t="s">
        <v>6</v>
      </c>
    </row>
    <row r="37" spans="2:21" x14ac:dyDescent="0.35">
      <c r="B37" s="7" t="s">
        <v>93</v>
      </c>
      <c r="C37" s="7">
        <f>Q24</f>
        <v>1.125</v>
      </c>
      <c r="D37" s="7" t="s">
        <v>17</v>
      </c>
      <c r="E37" s="86">
        <f t="shared" ref="E37" si="27">S24</f>
        <v>0.13027272727272726</v>
      </c>
      <c r="F37" s="5" t="str">
        <f>D37</f>
        <v>Oz</v>
      </c>
      <c r="G37" s="5">
        <f>C37*E37</f>
        <v>0.14655681818181818</v>
      </c>
      <c r="I37" s="7" t="s">
        <v>93</v>
      </c>
      <c r="J37" s="7">
        <f>Q54</f>
        <v>3.875</v>
      </c>
      <c r="K37" s="7" t="s">
        <v>17</v>
      </c>
      <c r="L37" s="86">
        <f t="shared" ref="L37" si="28">S54</f>
        <v>0.13027272727272726</v>
      </c>
      <c r="M37" s="5" t="str">
        <f>K37</f>
        <v>Oz</v>
      </c>
      <c r="N37" s="5">
        <f>J37*L37</f>
        <v>0.50480681818181816</v>
      </c>
      <c r="P37" s="5" t="s">
        <v>10</v>
      </c>
      <c r="Q37" s="5" t="s">
        <v>2</v>
      </c>
      <c r="R37" s="5" t="s">
        <v>1</v>
      </c>
      <c r="S37" s="5" t="s">
        <v>11</v>
      </c>
      <c r="T37" s="5" t="s">
        <v>1</v>
      </c>
      <c r="U37" s="5" t="s">
        <v>15</v>
      </c>
    </row>
    <row r="38" spans="2:21" x14ac:dyDescent="0.35">
      <c r="B38" s="7" t="s">
        <v>107</v>
      </c>
      <c r="C38" s="7">
        <f>Q25</f>
        <v>0.875</v>
      </c>
      <c r="D38" s="7" t="s">
        <v>17</v>
      </c>
      <c r="E38" s="86">
        <f t="shared" ref="E38" si="29">S25</f>
        <v>0.113375</v>
      </c>
      <c r="F38" s="5" t="str">
        <f>D38</f>
        <v>Oz</v>
      </c>
      <c r="G38" s="5">
        <f>C38*E38</f>
        <v>9.9203125000000003E-2</v>
      </c>
      <c r="I38" s="7" t="s">
        <v>107</v>
      </c>
      <c r="J38" s="7">
        <f>Q55</f>
        <v>2.75</v>
      </c>
      <c r="K38" s="7" t="s">
        <v>17</v>
      </c>
      <c r="L38" s="86">
        <f t="shared" ref="L38" si="30">S55</f>
        <v>0.113375</v>
      </c>
      <c r="M38" s="5" t="str">
        <f>K38</f>
        <v>Oz</v>
      </c>
      <c r="N38" s="5">
        <f>J38*L38</f>
        <v>0.31178125000000001</v>
      </c>
      <c r="P38" s="7" t="s">
        <v>86</v>
      </c>
      <c r="Q38" s="7">
        <v>3.5</v>
      </c>
      <c r="R38" s="7" t="s">
        <v>17</v>
      </c>
      <c r="S38" s="5">
        <f>S8</f>
        <v>0.29696428571428574</v>
      </c>
      <c r="T38" s="5" t="str">
        <f>R38</f>
        <v>Oz</v>
      </c>
      <c r="U38" s="5">
        <f>Q38*S38</f>
        <v>1.0393750000000002</v>
      </c>
    </row>
    <row r="39" spans="2:21" x14ac:dyDescent="0.35">
      <c r="B39" s="7" t="s">
        <v>311</v>
      </c>
      <c r="C39" s="7">
        <v>1</v>
      </c>
      <c r="D39" s="7" t="s">
        <v>103</v>
      </c>
      <c r="E39" s="86">
        <f>E12</f>
        <v>0.23005391524502131</v>
      </c>
      <c r="F39" s="5" t="str">
        <f>D39</f>
        <v>4-oz side</v>
      </c>
      <c r="G39" s="5">
        <f>C39*E39</f>
        <v>0.23005391524502131</v>
      </c>
      <c r="I39" s="7" t="s">
        <v>311</v>
      </c>
      <c r="J39" s="7">
        <v>1</v>
      </c>
      <c r="K39" s="7" t="s">
        <v>103</v>
      </c>
      <c r="L39" s="86">
        <f>L12</f>
        <v>0.23005391524502131</v>
      </c>
      <c r="M39" s="5" t="str">
        <f>K39</f>
        <v>4-oz side</v>
      </c>
      <c r="N39" s="5">
        <f>J39*L39</f>
        <v>0.23005391524502131</v>
      </c>
      <c r="P39" s="7" t="s">
        <v>87</v>
      </c>
      <c r="Q39" s="7">
        <v>3.25</v>
      </c>
      <c r="R39" s="7" t="s">
        <v>17</v>
      </c>
      <c r="S39" s="5">
        <f t="shared" ref="S39:S62" si="31">S9</f>
        <v>0.27918750000000003</v>
      </c>
      <c r="T39" s="5" t="str">
        <f t="shared" ref="T39:T55" si="32">R39</f>
        <v>Oz</v>
      </c>
      <c r="U39" s="5">
        <f t="shared" ref="U39:U55" si="33">Q39*S39</f>
        <v>0.90735937500000008</v>
      </c>
    </row>
    <row r="40" spans="2:21" x14ac:dyDescent="0.35">
      <c r="B40" s="7" t="s">
        <v>182</v>
      </c>
      <c r="C40" s="7">
        <v>1</v>
      </c>
      <c r="D40" s="7" t="s">
        <v>73</v>
      </c>
      <c r="E40" s="86">
        <f t="shared" ref="E40:E41" si="34">E13</f>
        <v>0.1149</v>
      </c>
      <c r="F40" s="5" t="str">
        <f>D40</f>
        <v>Box</v>
      </c>
      <c r="G40" s="5">
        <f>C40*E40</f>
        <v>0.1149</v>
      </c>
      <c r="I40" s="7" t="s">
        <v>181</v>
      </c>
      <c r="J40" s="7">
        <v>1</v>
      </c>
      <c r="K40" s="7" t="s">
        <v>73</v>
      </c>
      <c r="L40" s="5">
        <f>L13</f>
        <v>0.30980000000000002</v>
      </c>
      <c r="M40" s="5" t="str">
        <f>K40</f>
        <v>Box</v>
      </c>
      <c r="N40" s="5">
        <f>J40*L40</f>
        <v>0.30980000000000002</v>
      </c>
      <c r="P40" s="7" t="s">
        <v>28</v>
      </c>
      <c r="Q40" s="7">
        <v>3.375</v>
      </c>
      <c r="R40" s="7" t="s">
        <v>17</v>
      </c>
      <c r="S40" s="5">
        <f t="shared" si="31"/>
        <v>0.46875</v>
      </c>
      <c r="T40" s="5" t="str">
        <f t="shared" si="32"/>
        <v>Oz</v>
      </c>
      <c r="U40" s="5">
        <f t="shared" si="33"/>
        <v>1.58203125</v>
      </c>
    </row>
    <row r="41" spans="2:21" x14ac:dyDescent="0.35">
      <c r="B41" s="7" t="s">
        <v>183</v>
      </c>
      <c r="C41" s="7">
        <v>1</v>
      </c>
      <c r="D41" s="7" t="s">
        <v>74</v>
      </c>
      <c r="E41" s="5">
        <f t="shared" si="34"/>
        <v>7.7483333333333336E-3</v>
      </c>
      <c r="F41" s="5" t="str">
        <f>D41</f>
        <v>Paper</v>
      </c>
      <c r="G41" s="5">
        <f>C41*E41</f>
        <v>7.7483333333333336E-3</v>
      </c>
      <c r="I41" s="7" t="s">
        <v>130</v>
      </c>
      <c r="J41" s="7">
        <v>1</v>
      </c>
      <c r="K41" s="7" t="s">
        <v>74</v>
      </c>
      <c r="L41" s="5">
        <f>L14</f>
        <v>1.8434374999999999E-2</v>
      </c>
      <c r="M41" s="5" t="str">
        <f>K41</f>
        <v>Paper</v>
      </c>
      <c r="N41" s="5">
        <f>J41*L41</f>
        <v>1.8434374999999999E-2</v>
      </c>
      <c r="P41" s="7" t="s">
        <v>88</v>
      </c>
      <c r="Q41" s="7">
        <v>5</v>
      </c>
      <c r="R41" s="7" t="s">
        <v>128</v>
      </c>
      <c r="S41" s="5">
        <f t="shared" si="31"/>
        <v>0.23137019230769232</v>
      </c>
      <c r="T41" s="5" t="str">
        <f t="shared" si="32"/>
        <v>Slice</v>
      </c>
      <c r="U41" s="5">
        <f t="shared" si="33"/>
        <v>1.1568509615384617</v>
      </c>
    </row>
    <row r="42" spans="2:21" x14ac:dyDescent="0.35">
      <c r="P42" s="7" t="s">
        <v>89</v>
      </c>
      <c r="Q42" s="7">
        <v>6.375</v>
      </c>
      <c r="R42" s="7" t="s">
        <v>17</v>
      </c>
      <c r="S42" s="5">
        <f t="shared" si="31"/>
        <v>0.28749999999999998</v>
      </c>
      <c r="T42" s="5" t="str">
        <f t="shared" si="32"/>
        <v>Oz</v>
      </c>
      <c r="U42" s="5">
        <f t="shared" si="33"/>
        <v>1.8328125</v>
      </c>
    </row>
    <row r="43" spans="2:21" ht="15.5" x14ac:dyDescent="0.35">
      <c r="B43" s="119" t="s">
        <v>191</v>
      </c>
      <c r="C43" s="120"/>
      <c r="D43" s="121"/>
      <c r="E43" s="122" t="s">
        <v>7</v>
      </c>
      <c r="F43" s="123"/>
      <c r="G43" s="30">
        <f>SUM(G47:G57)</f>
        <v>3.8216697367475789</v>
      </c>
      <c r="I43" s="119" t="s">
        <v>192</v>
      </c>
      <c r="J43" s="120"/>
      <c r="K43" s="121"/>
      <c r="L43" s="122" t="s">
        <v>7</v>
      </c>
      <c r="M43" s="123"/>
      <c r="N43" s="30">
        <f>SUM(N47:N57)</f>
        <v>8.4346675152434862</v>
      </c>
      <c r="P43" s="7" t="s">
        <v>94</v>
      </c>
      <c r="Q43" s="7">
        <v>8</v>
      </c>
      <c r="R43" s="7" t="s">
        <v>128</v>
      </c>
      <c r="S43" s="5">
        <f t="shared" si="31"/>
        <v>0.11081654294803818</v>
      </c>
      <c r="T43" s="5" t="str">
        <f t="shared" si="32"/>
        <v>Slice</v>
      </c>
      <c r="U43" s="5">
        <f t="shared" si="33"/>
        <v>0.88653234358430544</v>
      </c>
    </row>
    <row r="44" spans="2:21" x14ac:dyDescent="0.35">
      <c r="B44" s="9"/>
      <c r="G44" s="8"/>
      <c r="I44" s="9"/>
      <c r="N44" s="8"/>
      <c r="P44" s="7" t="s">
        <v>324</v>
      </c>
      <c r="Q44" s="7"/>
      <c r="R44" s="7" t="s">
        <v>17</v>
      </c>
      <c r="S44" s="5">
        <f t="shared" si="31"/>
        <v>0.126546875</v>
      </c>
      <c r="T44" s="5" t="str">
        <f t="shared" si="32"/>
        <v>Oz</v>
      </c>
      <c r="U44" s="5">
        <f t="shared" si="33"/>
        <v>0</v>
      </c>
    </row>
    <row r="45" spans="2:21" x14ac:dyDescent="0.35">
      <c r="B45" s="10"/>
      <c r="C45" s="124" t="s">
        <v>13</v>
      </c>
      <c r="D45" s="125"/>
      <c r="E45" s="124" t="s">
        <v>14</v>
      </c>
      <c r="F45" s="125"/>
      <c r="G45" s="5" t="s">
        <v>6</v>
      </c>
      <c r="I45" s="10"/>
      <c r="J45" s="124" t="s">
        <v>13</v>
      </c>
      <c r="K45" s="125"/>
      <c r="L45" s="124" t="s">
        <v>14</v>
      </c>
      <c r="M45" s="125"/>
      <c r="N45" s="5" t="s">
        <v>6</v>
      </c>
      <c r="P45" s="7" t="s">
        <v>96</v>
      </c>
      <c r="Q45" s="7">
        <v>2</v>
      </c>
      <c r="R45" s="7" t="s">
        <v>96</v>
      </c>
      <c r="S45" s="5">
        <f t="shared" si="31"/>
        <v>1.625</v>
      </c>
      <c r="T45" s="5" t="str">
        <f t="shared" si="32"/>
        <v>Steak</v>
      </c>
      <c r="U45" s="5">
        <f t="shared" si="33"/>
        <v>3.25</v>
      </c>
    </row>
    <row r="46" spans="2:21" x14ac:dyDescent="0.35">
      <c r="B46" s="5" t="s">
        <v>10</v>
      </c>
      <c r="C46" s="5" t="s">
        <v>2</v>
      </c>
      <c r="D46" s="5" t="s">
        <v>1</v>
      </c>
      <c r="E46" s="5" t="s">
        <v>11</v>
      </c>
      <c r="F46" s="5" t="s">
        <v>1</v>
      </c>
      <c r="G46" s="5" t="s">
        <v>15</v>
      </c>
      <c r="I46" s="5" t="s">
        <v>10</v>
      </c>
      <c r="J46" s="5" t="s">
        <v>2</v>
      </c>
      <c r="K46" s="5" t="s">
        <v>1</v>
      </c>
      <c r="L46" s="5" t="s">
        <v>11</v>
      </c>
      <c r="M46" s="5" t="s">
        <v>1</v>
      </c>
      <c r="N46" s="5" t="s">
        <v>15</v>
      </c>
      <c r="P46" s="7" t="s">
        <v>97</v>
      </c>
      <c r="Q46" s="7">
        <v>2</v>
      </c>
      <c r="R46" s="7" t="s">
        <v>97</v>
      </c>
      <c r="S46" s="5">
        <f t="shared" si="31"/>
        <v>0.66589814357847965</v>
      </c>
      <c r="T46" s="5" t="str">
        <f t="shared" si="32"/>
        <v>Meatball</v>
      </c>
      <c r="U46" s="5">
        <f t="shared" si="33"/>
        <v>1.3317962871569593</v>
      </c>
    </row>
    <row r="47" spans="2:21" x14ac:dyDescent="0.35">
      <c r="B47" s="7" t="s">
        <v>61</v>
      </c>
      <c r="C47" s="7">
        <v>5.5</v>
      </c>
      <c r="D47" s="7" t="s">
        <v>17</v>
      </c>
      <c r="E47" s="5">
        <f>E8</f>
        <v>3.3574516898448738E-2</v>
      </c>
      <c r="F47" s="5" t="str">
        <f>D47</f>
        <v>Oz</v>
      </c>
      <c r="G47" s="5">
        <f>C47*E47</f>
        <v>0.18465984294146806</v>
      </c>
      <c r="I47" s="7" t="s">
        <v>61</v>
      </c>
      <c r="J47" s="7">
        <v>14</v>
      </c>
      <c r="K47" s="7" t="s">
        <v>17</v>
      </c>
      <c r="L47" s="5">
        <f>E8</f>
        <v>3.3574516898448738E-2</v>
      </c>
      <c r="M47" s="5" t="str">
        <f>K47</f>
        <v>Oz</v>
      </c>
      <c r="N47" s="5">
        <f>J47*L47</f>
        <v>0.47004323657828234</v>
      </c>
      <c r="P47" s="7" t="s">
        <v>98</v>
      </c>
      <c r="Q47" s="7">
        <v>2</v>
      </c>
      <c r="R47" s="7" t="s">
        <v>226</v>
      </c>
      <c r="S47" s="5">
        <f t="shared" si="31"/>
        <v>1.9321249999999999</v>
      </c>
      <c r="T47" s="5" t="str">
        <f t="shared" si="32"/>
        <v>Patty</v>
      </c>
      <c r="U47" s="5">
        <f t="shared" si="33"/>
        <v>3.8642499999999997</v>
      </c>
    </row>
    <row r="48" spans="2:21" x14ac:dyDescent="0.35">
      <c r="B48" s="7" t="s">
        <v>22</v>
      </c>
      <c r="C48" s="7">
        <v>5.75</v>
      </c>
      <c r="D48" s="7" t="s">
        <v>17</v>
      </c>
      <c r="E48" s="86">
        <f>S11</f>
        <v>0.23137019230769232</v>
      </c>
      <c r="F48" s="5" t="str">
        <f t="shared" ref="F48:F50" si="35">D48</f>
        <v>Oz</v>
      </c>
      <c r="G48" s="5">
        <f t="shared" ref="G48:G50" si="36">C48*E48</f>
        <v>1.3303786057692308</v>
      </c>
      <c r="I48" s="7" t="s">
        <v>22</v>
      </c>
      <c r="J48" s="7">
        <f>J9</f>
        <v>17.25</v>
      </c>
      <c r="K48" s="7" t="s">
        <v>17</v>
      </c>
      <c r="L48" s="86">
        <f>S48</f>
        <v>0.18312500000000001</v>
      </c>
      <c r="M48" s="5" t="str">
        <f t="shared" ref="M48:M50" si="37">K48</f>
        <v>Oz</v>
      </c>
      <c r="N48" s="5">
        <f t="shared" ref="N48:N50" si="38">J48*L48</f>
        <v>3.1589062500000002</v>
      </c>
      <c r="P48" s="7" t="s">
        <v>106</v>
      </c>
      <c r="Q48" s="7">
        <v>8.75</v>
      </c>
      <c r="R48" s="7" t="s">
        <v>17</v>
      </c>
      <c r="S48" s="5">
        <f t="shared" si="31"/>
        <v>0.18312500000000001</v>
      </c>
      <c r="T48" s="5" t="str">
        <f t="shared" si="32"/>
        <v>Oz</v>
      </c>
      <c r="U48" s="5">
        <f t="shared" si="33"/>
        <v>1.6023437500000002</v>
      </c>
    </row>
    <row r="49" spans="2:21" x14ac:dyDescent="0.35">
      <c r="B49" s="7" t="s">
        <v>86</v>
      </c>
      <c r="C49" s="7">
        <v>1.5</v>
      </c>
      <c r="D49" s="7" t="str">
        <f>R8</f>
        <v>Oz</v>
      </c>
      <c r="E49" s="86">
        <f>S8</f>
        <v>0.29696428571428574</v>
      </c>
      <c r="F49" s="5" t="str">
        <f t="shared" si="35"/>
        <v>Oz</v>
      </c>
      <c r="G49" s="5">
        <f t="shared" si="36"/>
        <v>0.44544642857142858</v>
      </c>
      <c r="I49" s="7" t="s">
        <v>86</v>
      </c>
      <c r="J49" s="7">
        <f>Q38</f>
        <v>3.5</v>
      </c>
      <c r="K49" s="7" t="str">
        <f t="shared" ref="K49:L49" si="39">R38</f>
        <v>Oz</v>
      </c>
      <c r="L49" s="86">
        <f t="shared" si="39"/>
        <v>0.29696428571428574</v>
      </c>
      <c r="M49" s="5" t="str">
        <f t="shared" si="37"/>
        <v>Oz</v>
      </c>
      <c r="N49" s="5">
        <f t="shared" si="38"/>
        <v>1.0393750000000002</v>
      </c>
      <c r="P49" s="7" t="s">
        <v>82</v>
      </c>
      <c r="Q49" s="7">
        <v>6.375</v>
      </c>
      <c r="R49" s="7" t="s">
        <v>17</v>
      </c>
      <c r="S49" s="5">
        <f t="shared" si="31"/>
        <v>0.15625</v>
      </c>
      <c r="T49" s="5" t="str">
        <f t="shared" si="32"/>
        <v>Oz</v>
      </c>
      <c r="U49" s="5">
        <f t="shared" si="33"/>
        <v>0.99609375</v>
      </c>
    </row>
    <row r="50" spans="2:21" x14ac:dyDescent="0.35">
      <c r="B50" s="7" t="s">
        <v>88</v>
      </c>
      <c r="C50" s="7">
        <v>2</v>
      </c>
      <c r="D50" s="7" t="s">
        <v>128</v>
      </c>
      <c r="E50" s="86">
        <f>S10</f>
        <v>0.46875</v>
      </c>
      <c r="F50" s="5" t="str">
        <f t="shared" si="35"/>
        <v>Slice</v>
      </c>
      <c r="G50" s="5">
        <f t="shared" si="36"/>
        <v>0.9375</v>
      </c>
      <c r="I50" s="7" t="s">
        <v>88</v>
      </c>
      <c r="J50" s="7">
        <f>Q41</f>
        <v>5</v>
      </c>
      <c r="K50" s="7" t="str">
        <f t="shared" ref="K50:L50" si="40">R41</f>
        <v>Slice</v>
      </c>
      <c r="L50" s="86">
        <f t="shared" si="40"/>
        <v>0.23137019230769232</v>
      </c>
      <c r="M50" s="5" t="str">
        <f t="shared" si="37"/>
        <v>Slice</v>
      </c>
      <c r="N50" s="5">
        <f t="shared" si="38"/>
        <v>1.1568509615384617</v>
      </c>
      <c r="P50" s="7"/>
      <c r="Q50" s="7"/>
      <c r="R50" s="7"/>
      <c r="S50" s="5"/>
      <c r="T50" s="5"/>
      <c r="U50" s="5"/>
    </row>
    <row r="51" spans="2:21" x14ac:dyDescent="0.35">
      <c r="B51" s="7" t="s">
        <v>87</v>
      </c>
      <c r="C51" s="7">
        <v>0.875</v>
      </c>
      <c r="D51" s="7" t="str">
        <f>R9</f>
        <v>Oz</v>
      </c>
      <c r="E51" s="86">
        <f>S9</f>
        <v>0.27918750000000003</v>
      </c>
      <c r="F51" s="5" t="str">
        <f t="shared" ref="F51:F57" si="41">D51</f>
        <v>Oz</v>
      </c>
      <c r="G51" s="5">
        <f t="shared" ref="G51:G57" si="42">C51*E51</f>
        <v>0.24428906250000004</v>
      </c>
      <c r="I51" s="7" t="s">
        <v>87</v>
      </c>
      <c r="J51" s="7">
        <f>Q39</f>
        <v>3.25</v>
      </c>
      <c r="K51" s="7" t="str">
        <f t="shared" ref="K51:L51" si="43">R39</f>
        <v>Oz</v>
      </c>
      <c r="L51" s="86">
        <f t="shared" si="43"/>
        <v>0.27918750000000003</v>
      </c>
      <c r="M51" s="5" t="str">
        <f t="shared" ref="M51:M57" si="44">K51</f>
        <v>Oz</v>
      </c>
      <c r="N51" s="5">
        <f t="shared" ref="N51:N57" si="45">J51*L51</f>
        <v>0.90735937500000008</v>
      </c>
      <c r="P51" s="7" t="s">
        <v>90</v>
      </c>
      <c r="Q51" s="7">
        <v>6</v>
      </c>
      <c r="R51" s="7" t="s">
        <v>17</v>
      </c>
      <c r="S51" s="5">
        <f t="shared" si="31"/>
        <v>0.12362903225806451</v>
      </c>
      <c r="T51" s="5" t="str">
        <f t="shared" si="32"/>
        <v>Oz</v>
      </c>
      <c r="U51" s="5">
        <f t="shared" si="33"/>
        <v>0.74177419354838703</v>
      </c>
    </row>
    <row r="52" spans="2:21" x14ac:dyDescent="0.35">
      <c r="B52" s="7" t="s">
        <v>91</v>
      </c>
      <c r="C52" s="7">
        <v>1</v>
      </c>
      <c r="D52" s="7" t="str">
        <f>R22</f>
        <v>Oz</v>
      </c>
      <c r="E52" s="86">
        <f>S22</f>
        <v>0.11374999999999999</v>
      </c>
      <c r="F52" s="5" t="str">
        <f t="shared" si="41"/>
        <v>Oz</v>
      </c>
      <c r="G52" s="5">
        <f t="shared" si="42"/>
        <v>0.11374999999999999</v>
      </c>
      <c r="I52" s="7" t="s">
        <v>91</v>
      </c>
      <c r="J52" s="7">
        <f>Q52</f>
        <v>4.375</v>
      </c>
      <c r="K52" s="7" t="str">
        <f t="shared" ref="K52:L52" si="46">R52</f>
        <v>Oz</v>
      </c>
      <c r="L52" s="86">
        <f t="shared" si="46"/>
        <v>0.11374999999999999</v>
      </c>
      <c r="M52" s="5" t="str">
        <f t="shared" si="44"/>
        <v>Oz</v>
      </c>
      <c r="N52" s="5">
        <f t="shared" si="45"/>
        <v>0.49765624999999997</v>
      </c>
      <c r="P52" s="7" t="s">
        <v>91</v>
      </c>
      <c r="Q52" s="7">
        <v>4.375</v>
      </c>
      <c r="R52" s="7" t="s">
        <v>17</v>
      </c>
      <c r="S52" s="5">
        <f t="shared" si="31"/>
        <v>0.11374999999999999</v>
      </c>
      <c r="T52" s="5" t="str">
        <f t="shared" si="32"/>
        <v>Oz</v>
      </c>
      <c r="U52" s="5">
        <f t="shared" si="33"/>
        <v>0.49765624999999997</v>
      </c>
    </row>
    <row r="53" spans="2:21" x14ac:dyDescent="0.35">
      <c r="B53" s="7" t="s">
        <v>90</v>
      </c>
      <c r="C53" s="7">
        <v>1.5</v>
      </c>
      <c r="D53" s="7" t="str">
        <f>R21</f>
        <v>Oz</v>
      </c>
      <c r="E53" s="86">
        <f>S21</f>
        <v>0.12362903225806451</v>
      </c>
      <c r="F53" s="5" t="str">
        <f t="shared" si="41"/>
        <v>Oz</v>
      </c>
      <c r="G53" s="5">
        <f t="shared" si="42"/>
        <v>0.18544354838709676</v>
      </c>
      <c r="I53" s="7" t="s">
        <v>90</v>
      </c>
      <c r="J53" s="7">
        <f>Q51</f>
        <v>6</v>
      </c>
      <c r="K53" s="7" t="str">
        <f t="shared" ref="K53:L53" si="47">R51</f>
        <v>Oz</v>
      </c>
      <c r="L53" s="86">
        <f t="shared" si="47"/>
        <v>0.12362903225806451</v>
      </c>
      <c r="M53" s="5" t="str">
        <f t="shared" si="44"/>
        <v>Oz</v>
      </c>
      <c r="N53" s="5">
        <f t="shared" si="45"/>
        <v>0.74177419354838703</v>
      </c>
      <c r="P53" s="7" t="s">
        <v>92</v>
      </c>
      <c r="Q53" s="7">
        <v>4</v>
      </c>
      <c r="R53" s="7" t="s">
        <v>17</v>
      </c>
      <c r="S53" s="5">
        <f t="shared" si="31"/>
        <v>2.75E-2</v>
      </c>
      <c r="T53" s="5" t="str">
        <f t="shared" si="32"/>
        <v>Oz</v>
      </c>
      <c r="U53" s="5">
        <f t="shared" si="33"/>
        <v>0.11</v>
      </c>
    </row>
    <row r="54" spans="2:21" x14ac:dyDescent="0.35">
      <c r="B54" s="7" t="s">
        <v>92</v>
      </c>
      <c r="C54" s="7">
        <v>1</v>
      </c>
      <c r="D54" s="7" t="str">
        <f>R23</f>
        <v>Oz</v>
      </c>
      <c r="E54" s="86">
        <f>S23</f>
        <v>2.75E-2</v>
      </c>
      <c r="F54" s="5" t="str">
        <f t="shared" si="41"/>
        <v>Oz</v>
      </c>
      <c r="G54" s="5">
        <f t="shared" si="42"/>
        <v>2.75E-2</v>
      </c>
      <c r="I54" s="7" t="s">
        <v>92</v>
      </c>
      <c r="J54" s="7">
        <f>Q53</f>
        <v>4</v>
      </c>
      <c r="K54" s="7" t="str">
        <f t="shared" ref="K54:L54" si="48">R53</f>
        <v>Oz</v>
      </c>
      <c r="L54" s="86">
        <f t="shared" si="48"/>
        <v>2.75E-2</v>
      </c>
      <c r="M54" s="5" t="str">
        <f t="shared" si="44"/>
        <v>Oz</v>
      </c>
      <c r="N54" s="5">
        <f t="shared" si="45"/>
        <v>0.11</v>
      </c>
      <c r="P54" s="7" t="s">
        <v>93</v>
      </c>
      <c r="Q54" s="7">
        <v>3.875</v>
      </c>
      <c r="R54" s="7" t="s">
        <v>17</v>
      </c>
      <c r="S54" s="5">
        <f t="shared" si="31"/>
        <v>0.13027272727272726</v>
      </c>
      <c r="T54" s="5" t="str">
        <f t="shared" si="32"/>
        <v>Oz</v>
      </c>
      <c r="U54" s="5">
        <f t="shared" si="33"/>
        <v>0.50480681818181816</v>
      </c>
    </row>
    <row r="55" spans="2:21" x14ac:dyDescent="0.35">
      <c r="B55" s="7" t="s">
        <v>311</v>
      </c>
      <c r="C55" s="7">
        <v>1</v>
      </c>
      <c r="D55" s="7" t="s">
        <v>103</v>
      </c>
      <c r="E55" s="86">
        <f>E12</f>
        <v>0.23005391524502131</v>
      </c>
      <c r="F55" s="5" t="str">
        <f t="shared" si="41"/>
        <v>4-oz side</v>
      </c>
      <c r="G55" s="5">
        <f t="shared" si="42"/>
        <v>0.23005391524502131</v>
      </c>
      <c r="I55" s="7" t="s">
        <v>311</v>
      </c>
      <c r="J55" s="7">
        <v>1</v>
      </c>
      <c r="K55" s="7" t="s">
        <v>103</v>
      </c>
      <c r="L55" s="86">
        <f>E12</f>
        <v>0.23005391524502131</v>
      </c>
      <c r="M55" s="5" t="str">
        <f t="shared" si="44"/>
        <v>4-oz side</v>
      </c>
      <c r="N55" s="5">
        <f t="shared" si="45"/>
        <v>0.23005391524502131</v>
      </c>
      <c r="P55" s="7" t="s">
        <v>107</v>
      </c>
      <c r="Q55" s="7">
        <v>2.75</v>
      </c>
      <c r="R55" s="7" t="s">
        <v>17</v>
      </c>
      <c r="S55" s="5">
        <f t="shared" si="31"/>
        <v>0.113375</v>
      </c>
      <c r="T55" s="5" t="str">
        <f t="shared" si="32"/>
        <v>Oz</v>
      </c>
      <c r="U55" s="5">
        <f t="shared" si="33"/>
        <v>0.31178125000000001</v>
      </c>
    </row>
    <row r="56" spans="2:21" x14ac:dyDescent="0.35">
      <c r="B56" s="7" t="s">
        <v>182</v>
      </c>
      <c r="C56" s="7">
        <v>1</v>
      </c>
      <c r="D56" s="7" t="s">
        <v>73</v>
      </c>
      <c r="E56" s="5">
        <f t="shared" ref="E56:E57" si="49">E13</f>
        <v>0.1149</v>
      </c>
      <c r="F56" s="5" t="str">
        <f t="shared" si="41"/>
        <v>Box</v>
      </c>
      <c r="G56" s="5">
        <f t="shared" si="42"/>
        <v>0.1149</v>
      </c>
      <c r="I56" s="7" t="s">
        <v>181</v>
      </c>
      <c r="J56" s="7">
        <v>1</v>
      </c>
      <c r="K56" s="7" t="s">
        <v>73</v>
      </c>
      <c r="L56" s="5">
        <f t="shared" ref="L56:L57" si="50">E13</f>
        <v>0.1149</v>
      </c>
      <c r="M56" s="5" t="str">
        <f t="shared" si="44"/>
        <v>Box</v>
      </c>
      <c r="N56" s="5">
        <f t="shared" si="45"/>
        <v>0.1149</v>
      </c>
      <c r="P56" s="7" t="s">
        <v>225</v>
      </c>
      <c r="Q56" s="7">
        <v>5.125</v>
      </c>
      <c r="R56" s="7" t="s">
        <v>17</v>
      </c>
      <c r="S56" s="5">
        <f t="shared" si="31"/>
        <v>8.9804687499999994E-2</v>
      </c>
      <c r="T56" s="5" t="str">
        <f t="shared" ref="T56" si="51">R56</f>
        <v>Oz</v>
      </c>
      <c r="U56" s="5">
        <f t="shared" ref="U56" si="52">Q56*S56</f>
        <v>0.46024902343749996</v>
      </c>
    </row>
    <row r="57" spans="2:21" x14ac:dyDescent="0.35">
      <c r="B57" s="7" t="s">
        <v>183</v>
      </c>
      <c r="C57" s="7">
        <v>1</v>
      </c>
      <c r="D57" s="7" t="s">
        <v>74</v>
      </c>
      <c r="E57" s="5">
        <f t="shared" si="49"/>
        <v>7.7483333333333336E-3</v>
      </c>
      <c r="F57" s="5" t="str">
        <f t="shared" si="41"/>
        <v>Paper</v>
      </c>
      <c r="G57" s="5">
        <f t="shared" si="42"/>
        <v>7.7483333333333336E-3</v>
      </c>
      <c r="I57" s="7" t="s">
        <v>130</v>
      </c>
      <c r="J57" s="7">
        <v>1</v>
      </c>
      <c r="K57" s="7" t="s">
        <v>74</v>
      </c>
      <c r="L57" s="5">
        <f t="shared" si="50"/>
        <v>7.7483333333333336E-3</v>
      </c>
      <c r="M57" s="5" t="str">
        <f t="shared" si="44"/>
        <v>Paper</v>
      </c>
      <c r="N57" s="5">
        <f t="shared" si="45"/>
        <v>7.7483333333333336E-3</v>
      </c>
      <c r="P57" s="7" t="s">
        <v>105</v>
      </c>
      <c r="Q57" s="7">
        <v>5</v>
      </c>
      <c r="R57" s="7" t="s">
        <v>17</v>
      </c>
      <c r="S57" s="5">
        <f t="shared" si="31"/>
        <v>0.11359848484848484</v>
      </c>
      <c r="T57" s="5" t="str">
        <f>R57</f>
        <v>Oz</v>
      </c>
      <c r="U57" s="5">
        <f>Q57*S57</f>
        <v>0.56799242424242413</v>
      </c>
    </row>
    <row r="58" spans="2:21" x14ac:dyDescent="0.35">
      <c r="P58" s="7" t="s">
        <v>100</v>
      </c>
      <c r="Q58" s="7">
        <v>6.25</v>
      </c>
      <c r="R58" s="7" t="s">
        <v>17</v>
      </c>
      <c r="S58" s="5">
        <f t="shared" si="31"/>
        <v>5.5732087227414337E-2</v>
      </c>
      <c r="T58" s="5" t="str">
        <f>R58</f>
        <v>Oz</v>
      </c>
      <c r="U58" s="5">
        <f>Q58*S58</f>
        <v>0.34832554517133962</v>
      </c>
    </row>
    <row r="59" spans="2:21" ht="15.5" x14ac:dyDescent="0.35">
      <c r="B59" s="119" t="s">
        <v>193</v>
      </c>
      <c r="C59" s="120"/>
      <c r="D59" s="121"/>
      <c r="E59" s="122" t="s">
        <v>7</v>
      </c>
      <c r="F59" s="123"/>
      <c r="G59" s="30">
        <f>SUM(G63:G73)</f>
        <v>3.6736625722890537</v>
      </c>
      <c r="I59" s="119" t="s">
        <v>194</v>
      </c>
      <c r="J59" s="120"/>
      <c r="K59" s="121"/>
      <c r="L59" s="122" t="s">
        <v>7</v>
      </c>
      <c r="M59" s="123"/>
      <c r="N59" s="30">
        <f>SUM(N63:N73)</f>
        <v>9.2297455893233025</v>
      </c>
      <c r="P59" s="7" t="s">
        <v>154</v>
      </c>
      <c r="Q59" s="7">
        <v>6.5</v>
      </c>
      <c r="R59" s="7" t="s">
        <v>17</v>
      </c>
      <c r="S59" s="5">
        <f t="shared" si="31"/>
        <v>0.1</v>
      </c>
      <c r="T59" s="5" t="str">
        <f>R59</f>
        <v>Oz</v>
      </c>
      <c r="U59" s="5">
        <f>Q59*S59</f>
        <v>0.65</v>
      </c>
    </row>
    <row r="60" spans="2:21" x14ac:dyDescent="0.35">
      <c r="B60" s="9"/>
      <c r="G60" s="8"/>
      <c r="I60" s="9"/>
      <c r="N60" s="8"/>
      <c r="P60" s="7"/>
      <c r="Q60" s="7"/>
      <c r="R60" s="7"/>
      <c r="S60" s="5"/>
      <c r="T60" s="5"/>
      <c r="U60" s="5"/>
    </row>
    <row r="61" spans="2:21" x14ac:dyDescent="0.35">
      <c r="B61" s="10"/>
      <c r="C61" s="124" t="s">
        <v>13</v>
      </c>
      <c r="D61" s="125"/>
      <c r="E61" s="124" t="s">
        <v>14</v>
      </c>
      <c r="F61" s="125"/>
      <c r="G61" s="5" t="s">
        <v>6</v>
      </c>
      <c r="I61" s="10"/>
      <c r="J61" s="124" t="s">
        <v>13</v>
      </c>
      <c r="K61" s="125"/>
      <c r="L61" s="124" t="s">
        <v>14</v>
      </c>
      <c r="M61" s="125"/>
      <c r="N61" s="5" t="s">
        <v>6</v>
      </c>
      <c r="P61" s="7" t="s">
        <v>109</v>
      </c>
      <c r="Q61" s="7">
        <v>0.625</v>
      </c>
      <c r="R61" s="7" t="s">
        <v>17</v>
      </c>
      <c r="S61" s="5">
        <f t="shared" si="31"/>
        <v>0</v>
      </c>
      <c r="T61" s="5" t="str">
        <f>R61</f>
        <v>Oz</v>
      </c>
      <c r="U61" s="5">
        <f>Q61*S61</f>
        <v>0</v>
      </c>
    </row>
    <row r="62" spans="2:21" x14ac:dyDescent="0.35">
      <c r="B62" s="5" t="s">
        <v>10</v>
      </c>
      <c r="C62" s="5" t="s">
        <v>2</v>
      </c>
      <c r="D62" s="5" t="s">
        <v>1</v>
      </c>
      <c r="E62" s="5" t="s">
        <v>11</v>
      </c>
      <c r="F62" s="5" t="s">
        <v>1</v>
      </c>
      <c r="G62" s="5" t="s">
        <v>15</v>
      </c>
      <c r="I62" s="5" t="s">
        <v>10</v>
      </c>
      <c r="J62" s="5" t="s">
        <v>2</v>
      </c>
      <c r="K62" s="5" t="s">
        <v>1</v>
      </c>
      <c r="L62" s="5" t="s">
        <v>11</v>
      </c>
      <c r="M62" s="5" t="s">
        <v>1</v>
      </c>
      <c r="N62" s="5" t="s">
        <v>15</v>
      </c>
      <c r="P62" s="7" t="s">
        <v>108</v>
      </c>
      <c r="Q62" s="7">
        <v>0.25</v>
      </c>
      <c r="R62" s="7" t="s">
        <v>17</v>
      </c>
      <c r="S62" s="5">
        <f t="shared" si="31"/>
        <v>4.3437499999999997E-2</v>
      </c>
      <c r="T62" s="5" t="str">
        <f>R62</f>
        <v>Oz</v>
      </c>
      <c r="U62" s="5">
        <f>Q62*S62</f>
        <v>1.0859374999999999E-2</v>
      </c>
    </row>
    <row r="63" spans="2:21" x14ac:dyDescent="0.35">
      <c r="B63" s="7" t="s">
        <v>61</v>
      </c>
      <c r="C63" s="7">
        <v>5.5</v>
      </c>
      <c r="D63" s="7" t="s">
        <v>17</v>
      </c>
      <c r="E63" s="5">
        <f>E8</f>
        <v>3.3574516898448738E-2</v>
      </c>
      <c r="F63" s="5" t="str">
        <f>D63</f>
        <v>Oz</v>
      </c>
      <c r="G63" s="5">
        <f>C63*E63</f>
        <v>0.18465984294146806</v>
      </c>
      <c r="I63" s="7" t="s">
        <v>61</v>
      </c>
      <c r="J63" s="7">
        <v>14</v>
      </c>
      <c r="K63" s="7" t="s">
        <v>17</v>
      </c>
      <c r="L63" s="5">
        <f>L8</f>
        <v>3.3574516898448738E-2</v>
      </c>
      <c r="M63" s="5" t="str">
        <f>K63</f>
        <v>Oz</v>
      </c>
      <c r="N63" s="5">
        <f>J63*L63</f>
        <v>0.47004323657828234</v>
      </c>
    </row>
    <row r="64" spans="2:21" x14ac:dyDescent="0.35">
      <c r="B64" s="7" t="s">
        <v>22</v>
      </c>
      <c r="C64" s="7">
        <f>C9</f>
        <v>5.75</v>
      </c>
      <c r="D64" s="7" t="s">
        <v>17</v>
      </c>
      <c r="E64" s="86">
        <f>S11</f>
        <v>0.23137019230769232</v>
      </c>
      <c r="F64" s="5" t="str">
        <f t="shared" ref="F64:F66" si="53">D64</f>
        <v>Oz</v>
      </c>
      <c r="G64" s="5">
        <f t="shared" ref="G64:G66" si="54">C64*E64</f>
        <v>1.3303786057692308</v>
      </c>
      <c r="I64" s="7" t="s">
        <v>22</v>
      </c>
      <c r="J64" s="7">
        <f>J9</f>
        <v>17.25</v>
      </c>
      <c r="K64" s="7" t="s">
        <v>17</v>
      </c>
      <c r="L64" s="86">
        <f>S48</f>
        <v>0.18312500000000001</v>
      </c>
      <c r="M64" s="5" t="str">
        <f t="shared" ref="M64:M66" si="55">K64</f>
        <v>Oz</v>
      </c>
      <c r="N64" s="5">
        <f t="shared" ref="N64:N66" si="56">J64*L64</f>
        <v>3.1589062500000002</v>
      </c>
    </row>
    <row r="65" spans="2:15" x14ac:dyDescent="0.35">
      <c r="B65" s="7" t="s">
        <v>82</v>
      </c>
      <c r="C65" s="7">
        <f>Q19</f>
        <v>2.125</v>
      </c>
      <c r="D65" s="7" t="s">
        <v>17</v>
      </c>
      <c r="E65" s="86">
        <f t="shared" ref="E65" si="57">S19</f>
        <v>0.15625</v>
      </c>
      <c r="F65" s="5" t="str">
        <f t="shared" si="53"/>
        <v>Oz</v>
      </c>
      <c r="G65" s="5">
        <f t="shared" si="54"/>
        <v>0.33203125</v>
      </c>
      <c r="I65" s="7" t="s">
        <v>82</v>
      </c>
      <c r="J65" s="7">
        <f>Q49</f>
        <v>6.375</v>
      </c>
      <c r="K65" s="7" t="str">
        <f t="shared" ref="K65:L65" si="58">R49</f>
        <v>Oz</v>
      </c>
      <c r="L65" s="86">
        <f t="shared" si="58"/>
        <v>0.15625</v>
      </c>
      <c r="M65" s="5" t="str">
        <f t="shared" si="55"/>
        <v>Oz</v>
      </c>
      <c r="N65" s="5">
        <f t="shared" si="56"/>
        <v>0.99609375</v>
      </c>
    </row>
    <row r="66" spans="2:15" x14ac:dyDescent="0.35">
      <c r="B66" s="7" t="s">
        <v>324</v>
      </c>
      <c r="C66" s="7">
        <f>Q14</f>
        <v>4.75</v>
      </c>
      <c r="D66" s="7" t="s">
        <v>17</v>
      </c>
      <c r="E66" s="86">
        <f t="shared" ref="E66" si="59">S14</f>
        <v>0.126546875</v>
      </c>
      <c r="F66" s="5" t="str">
        <f t="shared" si="53"/>
        <v>Oz</v>
      </c>
      <c r="G66" s="5">
        <f t="shared" si="54"/>
        <v>0.60109765625</v>
      </c>
      <c r="I66" s="7" t="s">
        <v>324</v>
      </c>
      <c r="J66" s="7">
        <v>13.875</v>
      </c>
      <c r="K66" s="7" t="str">
        <f t="shared" ref="K66:L66" si="60">R44</f>
        <v>Oz</v>
      </c>
      <c r="L66" s="86">
        <f t="shared" si="60"/>
        <v>0.126546875</v>
      </c>
      <c r="M66" s="5" t="str">
        <f t="shared" si="55"/>
        <v>Oz</v>
      </c>
      <c r="N66" s="5">
        <f t="shared" si="56"/>
        <v>1.7558378906250001</v>
      </c>
    </row>
    <row r="67" spans="2:15" x14ac:dyDescent="0.35">
      <c r="B67" s="7" t="s">
        <v>161</v>
      </c>
      <c r="C67" s="7">
        <v>2</v>
      </c>
      <c r="D67" s="7" t="s">
        <v>416</v>
      </c>
      <c r="E67" s="86">
        <f>'Food Prices'!L95</f>
        <v>0.10251953125</v>
      </c>
      <c r="F67" s="5" t="str">
        <f t="shared" ref="F67:F73" si="61">D67</f>
        <v>Fluid Oz</v>
      </c>
      <c r="G67" s="5">
        <f t="shared" ref="G67:G73" si="62">C67*E67</f>
        <v>0.20503906250000001</v>
      </c>
      <c r="I67" s="7" t="s">
        <v>161</v>
      </c>
      <c r="J67" s="7">
        <v>3.5</v>
      </c>
      <c r="K67" s="7" t="s">
        <v>416</v>
      </c>
      <c r="L67" s="86">
        <f>E67</f>
        <v>0.10251953125</v>
      </c>
      <c r="M67" s="5" t="str">
        <f t="shared" ref="M67:M73" si="63">K67</f>
        <v>Fluid Oz</v>
      </c>
      <c r="N67" s="5">
        <f t="shared" ref="N67:N73" si="64">J67*L67</f>
        <v>0.35881835937500001</v>
      </c>
    </row>
    <row r="68" spans="2:15" x14ac:dyDescent="0.35">
      <c r="B68" s="7" t="s">
        <v>28</v>
      </c>
      <c r="C68" s="7">
        <f>Q10</f>
        <v>1.125</v>
      </c>
      <c r="D68" s="7" t="s">
        <v>17</v>
      </c>
      <c r="E68" s="86">
        <f t="shared" ref="E68" si="65">S10</f>
        <v>0.46875</v>
      </c>
      <c r="F68" s="5" t="str">
        <f t="shared" si="61"/>
        <v>Oz</v>
      </c>
      <c r="G68" s="5">
        <f t="shared" si="62"/>
        <v>0.52734375</v>
      </c>
      <c r="I68" s="7" t="s">
        <v>28</v>
      </c>
      <c r="J68" s="7">
        <f>Q40</f>
        <v>3.375</v>
      </c>
      <c r="K68" s="7" t="str">
        <f t="shared" ref="K68:L68" si="66">R40</f>
        <v>Oz</v>
      </c>
      <c r="L68" s="86">
        <f t="shared" si="66"/>
        <v>0.46875</v>
      </c>
      <c r="M68" s="5" t="str">
        <f t="shared" si="63"/>
        <v>Oz</v>
      </c>
      <c r="N68" s="5">
        <f t="shared" si="64"/>
        <v>1.58203125</v>
      </c>
    </row>
    <row r="69" spans="2:15" x14ac:dyDescent="0.35">
      <c r="B69" s="7" t="s">
        <v>108</v>
      </c>
      <c r="C69" s="7">
        <f>Q32</f>
        <v>6.25E-2</v>
      </c>
      <c r="D69" s="7" t="s">
        <v>17</v>
      </c>
      <c r="E69" s="86">
        <f t="shared" ref="E69" si="67">S32</f>
        <v>4.3437499999999997E-2</v>
      </c>
      <c r="F69" s="5" t="str">
        <f t="shared" si="61"/>
        <v>Oz</v>
      </c>
      <c r="G69" s="5">
        <f t="shared" si="62"/>
        <v>2.7148437499999998E-3</v>
      </c>
      <c r="I69" s="7" t="s">
        <v>108</v>
      </c>
      <c r="J69" s="7">
        <f>Q62</f>
        <v>0.25</v>
      </c>
      <c r="K69" s="7" t="str">
        <f t="shared" ref="K69:L69" si="68">R52</f>
        <v>Oz</v>
      </c>
      <c r="L69" s="86">
        <f t="shared" si="68"/>
        <v>0.11374999999999999</v>
      </c>
      <c r="M69" s="5" t="str">
        <f t="shared" si="63"/>
        <v>Oz</v>
      </c>
      <c r="N69" s="5">
        <f t="shared" si="64"/>
        <v>2.8437499999999998E-2</v>
      </c>
    </row>
    <row r="70" spans="2:15" x14ac:dyDescent="0.35">
      <c r="B70" s="7" t="s">
        <v>44</v>
      </c>
      <c r="C70" s="7">
        <v>1.5</v>
      </c>
      <c r="D70" s="7" t="s">
        <v>416</v>
      </c>
      <c r="E70" s="86">
        <f>'Food Prices'!L39</f>
        <v>9.1796875E-2</v>
      </c>
      <c r="F70" s="5" t="str">
        <f t="shared" si="61"/>
        <v>Fluid Oz</v>
      </c>
      <c r="G70" s="5">
        <f t="shared" si="62"/>
        <v>0.1376953125</v>
      </c>
      <c r="I70" s="7" t="s">
        <v>44</v>
      </c>
      <c r="J70" s="7">
        <v>3.5</v>
      </c>
      <c r="K70" s="7" t="s">
        <v>416</v>
      </c>
      <c r="L70" s="86">
        <f>E70</f>
        <v>9.1796875E-2</v>
      </c>
      <c r="M70" s="5" t="str">
        <f t="shared" si="63"/>
        <v>Fluid Oz</v>
      </c>
      <c r="N70" s="5">
        <f t="shared" si="64"/>
        <v>0.3212890625</v>
      </c>
    </row>
    <row r="71" spans="2:15" x14ac:dyDescent="0.35">
      <c r="B71" s="7" t="s">
        <v>311</v>
      </c>
      <c r="C71" s="7">
        <v>1</v>
      </c>
      <c r="D71" s="7" t="s">
        <v>103</v>
      </c>
      <c r="E71" s="5">
        <f>E12</f>
        <v>0.23005391524502131</v>
      </c>
      <c r="F71" s="5" t="str">
        <f t="shared" si="61"/>
        <v>4-oz side</v>
      </c>
      <c r="G71" s="5">
        <f t="shared" si="62"/>
        <v>0.23005391524502131</v>
      </c>
      <c r="I71" s="7" t="s">
        <v>311</v>
      </c>
      <c r="J71" s="7">
        <v>1</v>
      </c>
      <c r="K71" s="7" t="s">
        <v>103</v>
      </c>
      <c r="L71" s="86">
        <f>L12</f>
        <v>0.23005391524502131</v>
      </c>
      <c r="M71" s="5" t="str">
        <f t="shared" si="63"/>
        <v>4-oz side</v>
      </c>
      <c r="N71" s="5">
        <f t="shared" si="64"/>
        <v>0.23005391524502131</v>
      </c>
    </row>
    <row r="72" spans="2:15" x14ac:dyDescent="0.35">
      <c r="B72" s="7" t="s">
        <v>182</v>
      </c>
      <c r="C72" s="7">
        <v>1</v>
      </c>
      <c r="D72" s="7" t="s">
        <v>73</v>
      </c>
      <c r="E72" s="5">
        <f t="shared" ref="E72:E73" si="69">E13</f>
        <v>0.1149</v>
      </c>
      <c r="F72" s="5" t="str">
        <f t="shared" si="61"/>
        <v>Box</v>
      </c>
      <c r="G72" s="5">
        <f t="shared" si="62"/>
        <v>0.1149</v>
      </c>
      <c r="I72" s="7" t="s">
        <v>181</v>
      </c>
      <c r="J72" s="7">
        <v>1</v>
      </c>
      <c r="K72" s="7" t="s">
        <v>73</v>
      </c>
      <c r="L72" s="5">
        <f t="shared" ref="L72:L73" si="70">L13</f>
        <v>0.30980000000000002</v>
      </c>
      <c r="M72" s="5" t="str">
        <f t="shared" si="63"/>
        <v>Box</v>
      </c>
      <c r="N72" s="5">
        <f t="shared" si="64"/>
        <v>0.30980000000000002</v>
      </c>
    </row>
    <row r="73" spans="2:15" x14ac:dyDescent="0.35">
      <c r="B73" s="7" t="s">
        <v>183</v>
      </c>
      <c r="C73" s="7">
        <v>1</v>
      </c>
      <c r="D73" s="7" t="s">
        <v>74</v>
      </c>
      <c r="E73" s="5">
        <f t="shared" si="69"/>
        <v>7.7483333333333336E-3</v>
      </c>
      <c r="F73" s="5" t="str">
        <f t="shared" si="61"/>
        <v>Paper</v>
      </c>
      <c r="G73" s="5">
        <f t="shared" si="62"/>
        <v>7.7483333333333336E-3</v>
      </c>
      <c r="I73" s="7" t="s">
        <v>130</v>
      </c>
      <c r="J73" s="7">
        <v>1</v>
      </c>
      <c r="K73" s="7" t="s">
        <v>74</v>
      </c>
      <c r="L73" s="5">
        <f t="shared" si="70"/>
        <v>1.8434374999999999E-2</v>
      </c>
      <c r="M73" s="5" t="str">
        <f t="shared" si="63"/>
        <v>Paper</v>
      </c>
      <c r="N73" s="5">
        <f t="shared" si="64"/>
        <v>1.8434374999999999E-2</v>
      </c>
    </row>
    <row r="76" spans="2:15" ht="23.5" x14ac:dyDescent="0.55000000000000004">
      <c r="C76" s="118" t="s">
        <v>195</v>
      </c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</row>
    <row r="78" spans="2:15" ht="15.5" x14ac:dyDescent="0.35">
      <c r="B78" s="119" t="s">
        <v>196</v>
      </c>
      <c r="C78" s="120"/>
      <c r="D78" s="121"/>
      <c r="E78" s="122" t="s">
        <v>7</v>
      </c>
      <c r="F78" s="123"/>
      <c r="G78" s="30">
        <f>SUM(G82:G87)</f>
        <v>2.1997719472890536</v>
      </c>
      <c r="I78" s="119" t="s">
        <v>197</v>
      </c>
      <c r="J78" s="120"/>
      <c r="K78" s="121"/>
      <c r="L78" s="122" t="s">
        <v>7</v>
      </c>
      <c r="M78" s="123"/>
      <c r="N78" s="30">
        <f>SUM(N82:N87)</f>
        <v>5.1833315268233031</v>
      </c>
    </row>
    <row r="79" spans="2:15" x14ac:dyDescent="0.35">
      <c r="B79" s="9"/>
      <c r="G79" s="8"/>
      <c r="I79" s="9"/>
      <c r="N79" s="8"/>
    </row>
    <row r="80" spans="2:15" x14ac:dyDescent="0.35">
      <c r="B80" s="10"/>
      <c r="C80" s="124" t="s">
        <v>13</v>
      </c>
      <c r="D80" s="125"/>
      <c r="E80" s="124" t="s">
        <v>14</v>
      </c>
      <c r="F80" s="125"/>
      <c r="G80" s="5" t="s">
        <v>6</v>
      </c>
      <c r="I80" s="10"/>
      <c r="J80" s="124" t="s">
        <v>13</v>
      </c>
      <c r="K80" s="125"/>
      <c r="L80" s="124" t="s">
        <v>14</v>
      </c>
      <c r="M80" s="125"/>
      <c r="N80" s="5" t="s">
        <v>6</v>
      </c>
    </row>
    <row r="81" spans="2:14" x14ac:dyDescent="0.35">
      <c r="B81" s="5" t="s">
        <v>10</v>
      </c>
      <c r="C81" s="5" t="s">
        <v>2</v>
      </c>
      <c r="D81" s="5" t="s">
        <v>1</v>
      </c>
      <c r="E81" s="5" t="s">
        <v>11</v>
      </c>
      <c r="F81" s="5" t="s">
        <v>1</v>
      </c>
      <c r="G81" s="5" t="s">
        <v>15</v>
      </c>
      <c r="I81" s="5" t="s">
        <v>10</v>
      </c>
      <c r="J81" s="5" t="s">
        <v>2</v>
      </c>
      <c r="K81" s="5" t="s">
        <v>1</v>
      </c>
      <c r="L81" s="5" t="s">
        <v>11</v>
      </c>
      <c r="M81" s="5" t="s">
        <v>1</v>
      </c>
      <c r="N81" s="5" t="s">
        <v>15</v>
      </c>
    </row>
    <row r="82" spans="2:14" x14ac:dyDescent="0.35">
      <c r="B82" s="7" t="s">
        <v>61</v>
      </c>
      <c r="C82" s="7">
        <v>5.5</v>
      </c>
      <c r="D82" s="7" t="s">
        <v>17</v>
      </c>
      <c r="E82" s="5">
        <f>E8</f>
        <v>3.3574516898448738E-2</v>
      </c>
      <c r="F82" s="5" t="str">
        <f>D82</f>
        <v>Oz</v>
      </c>
      <c r="G82" s="5">
        <f>C82*E82</f>
        <v>0.18465984294146806</v>
      </c>
      <c r="I82" s="7" t="s">
        <v>61</v>
      </c>
      <c r="J82" s="7">
        <v>14</v>
      </c>
      <c r="K82" s="7" t="s">
        <v>17</v>
      </c>
      <c r="L82" s="5">
        <f>L8</f>
        <v>3.3574516898448738E-2</v>
      </c>
      <c r="M82" s="5" t="str">
        <f>K82</f>
        <v>Oz</v>
      </c>
      <c r="N82" s="5">
        <f>J82*L82</f>
        <v>0.47004323657828234</v>
      </c>
    </row>
    <row r="83" spans="2:14" x14ac:dyDescent="0.35">
      <c r="B83" s="7" t="s">
        <v>22</v>
      </c>
      <c r="C83" s="7">
        <f>C9</f>
        <v>5.75</v>
      </c>
      <c r="D83" s="7" t="s">
        <v>17</v>
      </c>
      <c r="E83" s="5">
        <f>S11</f>
        <v>0.23137019230769232</v>
      </c>
      <c r="F83" s="5" t="str">
        <f t="shared" ref="F83:F86" si="71">D83</f>
        <v>Oz</v>
      </c>
      <c r="G83" s="5">
        <f t="shared" ref="G83:G86" si="72">C83*E83</f>
        <v>1.3303786057692308</v>
      </c>
      <c r="I83" s="7" t="s">
        <v>22</v>
      </c>
      <c r="J83" s="7">
        <f>J9</f>
        <v>17.25</v>
      </c>
      <c r="K83" s="7" t="s">
        <v>17</v>
      </c>
      <c r="L83" s="5">
        <f>S48</f>
        <v>0.18312500000000001</v>
      </c>
      <c r="M83" s="5" t="str">
        <f t="shared" ref="M83:M86" si="73">K83</f>
        <v>Oz</v>
      </c>
      <c r="N83" s="5">
        <f t="shared" ref="N83:N86" si="74">J83*L83</f>
        <v>3.1589062500000002</v>
      </c>
    </row>
    <row r="84" spans="2:14" x14ac:dyDescent="0.35">
      <c r="B84" s="7" t="s">
        <v>82</v>
      </c>
      <c r="C84" s="7">
        <f>Q19</f>
        <v>2.125</v>
      </c>
      <c r="D84" s="7" t="s">
        <v>17</v>
      </c>
      <c r="E84" s="5">
        <f>S19</f>
        <v>0.15625</v>
      </c>
      <c r="F84" s="5" t="str">
        <f t="shared" si="71"/>
        <v>Oz</v>
      </c>
      <c r="G84" s="5">
        <f t="shared" si="72"/>
        <v>0.33203125</v>
      </c>
      <c r="I84" s="7" t="s">
        <v>82</v>
      </c>
      <c r="J84" s="7">
        <f>Q49</f>
        <v>6.375</v>
      </c>
      <c r="K84" s="7" t="s">
        <v>17</v>
      </c>
      <c r="L84" s="5">
        <f>S49</f>
        <v>0.15625</v>
      </c>
      <c r="M84" s="5" t="str">
        <f t="shared" si="73"/>
        <v>Oz</v>
      </c>
      <c r="N84" s="5">
        <f t="shared" si="74"/>
        <v>0.99609375</v>
      </c>
    </row>
    <row r="85" spans="2:14" x14ac:dyDescent="0.35">
      <c r="B85" s="7" t="s">
        <v>311</v>
      </c>
      <c r="C85" s="7">
        <v>1</v>
      </c>
      <c r="D85" s="7" t="s">
        <v>103</v>
      </c>
      <c r="E85" s="5">
        <f>E12</f>
        <v>0.23005391524502131</v>
      </c>
      <c r="F85" s="5" t="str">
        <f t="shared" si="71"/>
        <v>4-oz side</v>
      </c>
      <c r="G85" s="5">
        <f t="shared" si="72"/>
        <v>0.23005391524502131</v>
      </c>
      <c r="I85" s="7" t="s">
        <v>311</v>
      </c>
      <c r="J85" s="7">
        <v>1</v>
      </c>
      <c r="K85" s="7" t="s">
        <v>103</v>
      </c>
      <c r="L85" s="5">
        <f>L12</f>
        <v>0.23005391524502131</v>
      </c>
      <c r="M85" s="5" t="str">
        <f t="shared" si="73"/>
        <v>4-oz side</v>
      </c>
      <c r="N85" s="5">
        <f t="shared" si="74"/>
        <v>0.23005391524502131</v>
      </c>
    </row>
    <row r="86" spans="2:14" x14ac:dyDescent="0.35">
      <c r="B86" s="7" t="s">
        <v>182</v>
      </c>
      <c r="C86" s="7">
        <v>1</v>
      </c>
      <c r="D86" s="7" t="s">
        <v>73</v>
      </c>
      <c r="E86" s="5">
        <f t="shared" ref="E86:E87" si="75">E13</f>
        <v>0.1149</v>
      </c>
      <c r="F86" s="5" t="str">
        <f t="shared" si="71"/>
        <v>Box</v>
      </c>
      <c r="G86" s="5">
        <f t="shared" si="72"/>
        <v>0.1149</v>
      </c>
      <c r="I86" s="7" t="s">
        <v>181</v>
      </c>
      <c r="J86" s="7">
        <v>1</v>
      </c>
      <c r="K86" s="7" t="s">
        <v>73</v>
      </c>
      <c r="L86" s="5">
        <f t="shared" ref="L86:L87" si="76">L13</f>
        <v>0.30980000000000002</v>
      </c>
      <c r="M86" s="5" t="str">
        <f t="shared" si="73"/>
        <v>Box</v>
      </c>
      <c r="N86" s="5">
        <f t="shared" si="74"/>
        <v>0.30980000000000002</v>
      </c>
    </row>
    <row r="87" spans="2:14" x14ac:dyDescent="0.35">
      <c r="B87" s="7" t="s">
        <v>183</v>
      </c>
      <c r="C87" s="7">
        <v>1</v>
      </c>
      <c r="D87" s="7" t="s">
        <v>74</v>
      </c>
      <c r="E87" s="5">
        <f t="shared" si="75"/>
        <v>7.7483333333333336E-3</v>
      </c>
      <c r="F87" s="5" t="str">
        <f>D87</f>
        <v>Paper</v>
      </c>
      <c r="G87" s="5">
        <f>C87*E87</f>
        <v>7.7483333333333336E-3</v>
      </c>
      <c r="I87" s="7" t="s">
        <v>130</v>
      </c>
      <c r="J87" s="7">
        <v>1</v>
      </c>
      <c r="K87" s="7" t="s">
        <v>74</v>
      </c>
      <c r="L87" s="5">
        <f t="shared" si="76"/>
        <v>1.8434374999999999E-2</v>
      </c>
      <c r="M87" s="5" t="str">
        <f>K87</f>
        <v>Paper</v>
      </c>
      <c r="N87" s="5">
        <f>J87*L87</f>
        <v>1.8434374999999999E-2</v>
      </c>
    </row>
    <row r="89" spans="2:14" ht="15.5" x14ac:dyDescent="0.35">
      <c r="B89" s="119" t="s">
        <v>198</v>
      </c>
      <c r="C89" s="120"/>
      <c r="D89" s="121"/>
      <c r="E89" s="122" t="s">
        <v>7</v>
      </c>
      <c r="F89" s="123"/>
      <c r="G89" s="30">
        <f>SUM(G93:G99)</f>
        <v>2.6625123319044381</v>
      </c>
      <c r="I89" s="119" t="s">
        <v>199</v>
      </c>
      <c r="J89" s="120"/>
      <c r="K89" s="121"/>
      <c r="L89" s="122" t="s">
        <v>7</v>
      </c>
      <c r="M89" s="123"/>
      <c r="N89" s="30">
        <f>SUM(N93:N99)</f>
        <v>6.3401824883617648</v>
      </c>
    </row>
    <row r="90" spans="2:14" x14ac:dyDescent="0.35">
      <c r="B90" s="9"/>
      <c r="G90" s="8"/>
      <c r="I90" s="9"/>
      <c r="N90" s="8"/>
    </row>
    <row r="91" spans="2:14" x14ac:dyDescent="0.35">
      <c r="B91" s="10"/>
      <c r="C91" s="124" t="s">
        <v>13</v>
      </c>
      <c r="D91" s="125"/>
      <c r="E91" s="124" t="s">
        <v>14</v>
      </c>
      <c r="F91" s="125"/>
      <c r="G91" s="5" t="s">
        <v>6</v>
      </c>
      <c r="I91" s="10"/>
      <c r="J91" s="124" t="s">
        <v>13</v>
      </c>
      <c r="K91" s="125"/>
      <c r="L91" s="124" t="s">
        <v>14</v>
      </c>
      <c r="M91" s="125"/>
      <c r="N91" s="5" t="s">
        <v>6</v>
      </c>
    </row>
    <row r="92" spans="2:14" x14ac:dyDescent="0.35">
      <c r="B92" s="5" t="s">
        <v>10</v>
      </c>
      <c r="C92" s="5" t="s">
        <v>2</v>
      </c>
      <c r="D92" s="5" t="s">
        <v>1</v>
      </c>
      <c r="E92" s="5" t="s">
        <v>11</v>
      </c>
      <c r="F92" s="5" t="s">
        <v>1</v>
      </c>
      <c r="G92" s="5" t="s">
        <v>15</v>
      </c>
      <c r="I92" s="5" t="s">
        <v>10</v>
      </c>
      <c r="J92" s="5" t="s">
        <v>2</v>
      </c>
      <c r="K92" s="5" t="s">
        <v>1</v>
      </c>
      <c r="L92" s="5" t="s">
        <v>11</v>
      </c>
      <c r="M92" s="5" t="s">
        <v>1</v>
      </c>
      <c r="N92" s="5" t="s">
        <v>15</v>
      </c>
    </row>
    <row r="93" spans="2:14" x14ac:dyDescent="0.35">
      <c r="B93" s="7" t="s">
        <v>61</v>
      </c>
      <c r="C93" s="7">
        <v>5.5</v>
      </c>
      <c r="D93" s="7" t="s">
        <v>17</v>
      </c>
      <c r="E93" s="5">
        <f>E8</f>
        <v>3.3574516898448738E-2</v>
      </c>
      <c r="F93" s="5" t="str">
        <f>D93</f>
        <v>Oz</v>
      </c>
      <c r="G93" s="5">
        <f>C93*E93</f>
        <v>0.18465984294146806</v>
      </c>
      <c r="I93" s="7" t="s">
        <v>61</v>
      </c>
      <c r="J93" s="7">
        <v>14</v>
      </c>
      <c r="K93" s="7" t="s">
        <v>17</v>
      </c>
      <c r="L93" s="5">
        <f>L8</f>
        <v>3.3574516898448738E-2</v>
      </c>
      <c r="M93" s="5" t="str">
        <f>K93</f>
        <v>Oz</v>
      </c>
      <c r="N93" s="5">
        <f>J93*L93</f>
        <v>0.47004323657828234</v>
      </c>
    </row>
    <row r="94" spans="2:14" x14ac:dyDescent="0.35">
      <c r="B94" s="7" t="s">
        <v>22</v>
      </c>
      <c r="C94" s="7">
        <f>C9</f>
        <v>5.75</v>
      </c>
      <c r="D94" s="7" t="s">
        <v>17</v>
      </c>
      <c r="E94" s="5">
        <f>S11</f>
        <v>0.23137019230769232</v>
      </c>
      <c r="F94" s="5" t="str">
        <f t="shared" ref="F94:F98" si="77">D94</f>
        <v>Oz</v>
      </c>
      <c r="G94" s="5">
        <f t="shared" ref="G94:G98" si="78">C94*E94</f>
        <v>1.3303786057692308</v>
      </c>
      <c r="I94" s="7" t="s">
        <v>22</v>
      </c>
      <c r="J94" s="7">
        <f>J9</f>
        <v>17.25</v>
      </c>
      <c r="K94" s="7" t="s">
        <v>17</v>
      </c>
      <c r="L94" s="5">
        <f>S48</f>
        <v>0.18312500000000001</v>
      </c>
      <c r="M94" s="5" t="str">
        <f t="shared" ref="M94:M98" si="79">K94</f>
        <v>Oz</v>
      </c>
      <c r="N94" s="5">
        <f t="shared" ref="N94:N98" si="80">J94*L94</f>
        <v>3.1589062500000002</v>
      </c>
    </row>
    <row r="95" spans="2:14" x14ac:dyDescent="0.35">
      <c r="B95" s="7" t="s">
        <v>82</v>
      </c>
      <c r="C95" s="7">
        <f>Q19</f>
        <v>2.125</v>
      </c>
      <c r="D95" s="7" t="s">
        <v>17</v>
      </c>
      <c r="E95" s="5">
        <f>S19</f>
        <v>0.15625</v>
      </c>
      <c r="F95" s="5" t="str">
        <f t="shared" si="77"/>
        <v>Oz</v>
      </c>
      <c r="G95" s="5">
        <f t="shared" si="78"/>
        <v>0.33203125</v>
      </c>
      <c r="I95" s="7" t="s">
        <v>82</v>
      </c>
      <c r="J95" s="7">
        <f>Q49</f>
        <v>6.375</v>
      </c>
      <c r="K95" s="7" t="s">
        <v>17</v>
      </c>
      <c r="L95" s="5">
        <f>S49</f>
        <v>0.15625</v>
      </c>
      <c r="M95" s="5" t="str">
        <f t="shared" si="79"/>
        <v>Oz</v>
      </c>
      <c r="N95" s="5">
        <f t="shared" si="80"/>
        <v>0.99609375</v>
      </c>
    </row>
    <row r="96" spans="2:14" x14ac:dyDescent="0.35">
      <c r="B96" s="7" t="s">
        <v>88</v>
      </c>
      <c r="C96" s="7">
        <f>Q11</f>
        <v>2</v>
      </c>
      <c r="D96" s="7" t="s">
        <v>128</v>
      </c>
      <c r="E96" s="5">
        <f>S11</f>
        <v>0.23137019230769232</v>
      </c>
      <c r="F96" s="5" t="str">
        <f t="shared" si="77"/>
        <v>Slice</v>
      </c>
      <c r="G96" s="5">
        <f t="shared" si="78"/>
        <v>0.46274038461538464</v>
      </c>
      <c r="I96" s="7" t="s">
        <v>88</v>
      </c>
      <c r="J96" s="7">
        <f>Q41</f>
        <v>5</v>
      </c>
      <c r="K96" s="7" t="s">
        <v>128</v>
      </c>
      <c r="L96" s="5">
        <f>S41</f>
        <v>0.23137019230769232</v>
      </c>
      <c r="M96" s="5" t="str">
        <f t="shared" ref="M96" si="81">K96</f>
        <v>Slice</v>
      </c>
      <c r="N96" s="5">
        <f t="shared" ref="N96" si="82">J96*L96</f>
        <v>1.1568509615384617</v>
      </c>
    </row>
    <row r="97" spans="2:14" x14ac:dyDescent="0.35">
      <c r="B97" s="7" t="s">
        <v>311</v>
      </c>
      <c r="C97" s="7">
        <v>1</v>
      </c>
      <c r="D97" s="7" t="s">
        <v>103</v>
      </c>
      <c r="E97" s="5">
        <f>E12</f>
        <v>0.23005391524502131</v>
      </c>
      <c r="F97" s="5" t="str">
        <f t="shared" si="77"/>
        <v>4-oz side</v>
      </c>
      <c r="G97" s="5">
        <f t="shared" si="78"/>
        <v>0.23005391524502131</v>
      </c>
      <c r="I97" s="7" t="s">
        <v>311</v>
      </c>
      <c r="J97" s="7">
        <v>1</v>
      </c>
      <c r="K97" s="7" t="s">
        <v>103</v>
      </c>
      <c r="L97" s="5">
        <f>L12</f>
        <v>0.23005391524502131</v>
      </c>
      <c r="M97" s="5" t="str">
        <f t="shared" si="79"/>
        <v>4-oz side</v>
      </c>
      <c r="N97" s="5">
        <f t="shared" si="80"/>
        <v>0.23005391524502131</v>
      </c>
    </row>
    <row r="98" spans="2:14" x14ac:dyDescent="0.35">
      <c r="B98" s="7" t="s">
        <v>182</v>
      </c>
      <c r="C98" s="7">
        <v>1</v>
      </c>
      <c r="D98" s="7" t="s">
        <v>73</v>
      </c>
      <c r="E98" s="5">
        <f t="shared" ref="E98:E99" si="83">E13</f>
        <v>0.1149</v>
      </c>
      <c r="F98" s="5" t="str">
        <f t="shared" si="77"/>
        <v>Box</v>
      </c>
      <c r="G98" s="5">
        <f t="shared" si="78"/>
        <v>0.1149</v>
      </c>
      <c r="I98" s="7" t="s">
        <v>181</v>
      </c>
      <c r="J98" s="7">
        <v>1</v>
      </c>
      <c r="K98" s="7" t="s">
        <v>73</v>
      </c>
      <c r="L98" s="5">
        <f t="shared" ref="L98:L99" si="84">L13</f>
        <v>0.30980000000000002</v>
      </c>
      <c r="M98" s="5" t="str">
        <f t="shared" si="79"/>
        <v>Box</v>
      </c>
      <c r="N98" s="5">
        <f t="shared" si="80"/>
        <v>0.30980000000000002</v>
      </c>
    </row>
    <row r="99" spans="2:14" x14ac:dyDescent="0.35">
      <c r="B99" s="7" t="s">
        <v>183</v>
      </c>
      <c r="C99" s="7">
        <v>1</v>
      </c>
      <c r="D99" s="7" t="s">
        <v>74</v>
      </c>
      <c r="E99" s="5">
        <f t="shared" si="83"/>
        <v>7.7483333333333336E-3</v>
      </c>
      <c r="F99" s="5" t="str">
        <f>D99</f>
        <v>Paper</v>
      </c>
      <c r="G99" s="5">
        <f>C99*E99</f>
        <v>7.7483333333333336E-3</v>
      </c>
      <c r="I99" s="7" t="s">
        <v>130</v>
      </c>
      <c r="J99" s="7">
        <v>1</v>
      </c>
      <c r="K99" s="7" t="s">
        <v>74</v>
      </c>
      <c r="L99" s="5">
        <f t="shared" si="84"/>
        <v>1.8434374999999999E-2</v>
      </c>
      <c r="M99" s="5" t="str">
        <f>K99</f>
        <v>Paper</v>
      </c>
      <c r="N99" s="5">
        <f>J99*L99</f>
        <v>1.8434374999999999E-2</v>
      </c>
    </row>
    <row r="101" spans="2:14" ht="15.5" x14ac:dyDescent="0.35">
      <c r="B101" s="119" t="s">
        <v>200</v>
      </c>
      <c r="C101" s="120"/>
      <c r="D101" s="121"/>
      <c r="E101" s="122" t="s">
        <v>7</v>
      </c>
      <c r="F101" s="123"/>
      <c r="G101" s="30">
        <f>SUM(G105:G115)</f>
        <v>2.7722254388579683</v>
      </c>
      <c r="I101" s="119" t="s">
        <v>201</v>
      </c>
      <c r="J101" s="120"/>
      <c r="K101" s="121"/>
      <c r="L101" s="122" t="s">
        <v>7</v>
      </c>
      <c r="M101" s="123"/>
      <c r="N101" s="30">
        <f>SUM(N105:N115)</f>
        <v>7.34935003855351</v>
      </c>
    </row>
    <row r="102" spans="2:14" x14ac:dyDescent="0.35">
      <c r="B102" s="9"/>
      <c r="G102" s="8"/>
      <c r="I102" s="9"/>
      <c r="N102" s="8"/>
    </row>
    <row r="103" spans="2:14" x14ac:dyDescent="0.35">
      <c r="B103" s="10"/>
      <c r="C103" s="124" t="s">
        <v>13</v>
      </c>
      <c r="D103" s="125"/>
      <c r="E103" s="124" t="s">
        <v>14</v>
      </c>
      <c r="F103" s="125"/>
      <c r="G103" s="5" t="s">
        <v>6</v>
      </c>
      <c r="I103" s="10"/>
      <c r="J103" s="124" t="s">
        <v>13</v>
      </c>
      <c r="K103" s="125"/>
      <c r="L103" s="124" t="s">
        <v>14</v>
      </c>
      <c r="M103" s="125"/>
      <c r="N103" s="5" t="s">
        <v>6</v>
      </c>
    </row>
    <row r="104" spans="2:14" x14ac:dyDescent="0.35">
      <c r="B104" s="5" t="s">
        <v>10</v>
      </c>
      <c r="C104" s="5" t="s">
        <v>2</v>
      </c>
      <c r="D104" s="5" t="s">
        <v>1</v>
      </c>
      <c r="E104" s="5" t="s">
        <v>11</v>
      </c>
      <c r="F104" s="5" t="s">
        <v>1</v>
      </c>
      <c r="G104" s="5" t="s">
        <v>15</v>
      </c>
      <c r="I104" s="5" t="s">
        <v>10</v>
      </c>
      <c r="J104" s="5" t="s">
        <v>2</v>
      </c>
      <c r="K104" s="5" t="s">
        <v>1</v>
      </c>
      <c r="L104" s="5" t="s">
        <v>11</v>
      </c>
      <c r="M104" s="5" t="s">
        <v>1</v>
      </c>
      <c r="N104" s="5" t="s">
        <v>15</v>
      </c>
    </row>
    <row r="105" spans="2:14" x14ac:dyDescent="0.35">
      <c r="B105" s="7" t="s">
        <v>61</v>
      </c>
      <c r="C105" s="7">
        <v>5.5</v>
      </c>
      <c r="D105" s="7" t="s">
        <v>17</v>
      </c>
      <c r="E105" s="5">
        <f>E8</f>
        <v>3.3574516898448738E-2</v>
      </c>
      <c r="F105" s="5" t="str">
        <f>D105</f>
        <v>Oz</v>
      </c>
      <c r="G105" s="5">
        <f>C105*E105</f>
        <v>0.18465984294146806</v>
      </c>
      <c r="I105" s="7" t="s">
        <v>61</v>
      </c>
      <c r="J105" s="7">
        <v>14</v>
      </c>
      <c r="K105" s="7" t="s">
        <v>17</v>
      </c>
      <c r="L105" s="5">
        <f>L8</f>
        <v>3.3574516898448738E-2</v>
      </c>
      <c r="M105" s="5" t="str">
        <f>K105</f>
        <v>Oz</v>
      </c>
      <c r="N105" s="5">
        <f>J105*L105</f>
        <v>0.47004323657828234</v>
      </c>
    </row>
    <row r="106" spans="2:14" x14ac:dyDescent="0.35">
      <c r="B106" s="7" t="s">
        <v>22</v>
      </c>
      <c r="C106" s="7">
        <f>C9</f>
        <v>5.75</v>
      </c>
      <c r="D106" s="7" t="s">
        <v>17</v>
      </c>
      <c r="E106" s="86">
        <f>S11</f>
        <v>0.23137019230769232</v>
      </c>
      <c r="F106" s="5" t="str">
        <f t="shared" ref="F106:F108" si="85">D106</f>
        <v>Oz</v>
      </c>
      <c r="G106" s="5">
        <f t="shared" ref="G106:G108" si="86">C106*E106</f>
        <v>1.3303786057692308</v>
      </c>
      <c r="I106" s="7" t="s">
        <v>22</v>
      </c>
      <c r="J106" s="7">
        <f>J9</f>
        <v>17.25</v>
      </c>
      <c r="K106" s="7" t="s">
        <v>17</v>
      </c>
      <c r="L106" s="86">
        <f>S48</f>
        <v>0.18312500000000001</v>
      </c>
      <c r="M106" s="5" t="str">
        <f t="shared" ref="M106:M108" si="87">K106</f>
        <v>Oz</v>
      </c>
      <c r="N106" s="5">
        <f t="shared" ref="N106:N108" si="88">J106*L106</f>
        <v>3.1589062500000002</v>
      </c>
    </row>
    <row r="107" spans="2:14" x14ac:dyDescent="0.35">
      <c r="B107" s="7" t="s">
        <v>82</v>
      </c>
      <c r="C107" s="7">
        <f>Q19</f>
        <v>2.125</v>
      </c>
      <c r="D107" s="7" t="str">
        <f t="shared" ref="D107:E107" si="89">R19</f>
        <v>Oz</v>
      </c>
      <c r="E107" s="86">
        <f t="shared" si="89"/>
        <v>0.15625</v>
      </c>
      <c r="F107" s="5" t="str">
        <f t="shared" si="85"/>
        <v>Oz</v>
      </c>
      <c r="G107" s="5">
        <f t="shared" si="86"/>
        <v>0.33203125</v>
      </c>
      <c r="I107" s="7" t="s">
        <v>82</v>
      </c>
      <c r="J107" s="7">
        <f>Q49</f>
        <v>6.375</v>
      </c>
      <c r="K107" s="7" t="str">
        <f t="shared" ref="K107:L107" si="90">R49</f>
        <v>Oz</v>
      </c>
      <c r="L107" s="86">
        <f t="shared" si="90"/>
        <v>0.15625</v>
      </c>
      <c r="M107" s="5" t="str">
        <f t="shared" si="87"/>
        <v>Oz</v>
      </c>
      <c r="N107" s="5">
        <f t="shared" si="88"/>
        <v>0.99609375</v>
      </c>
    </row>
    <row r="108" spans="2:14" x14ac:dyDescent="0.35">
      <c r="B108" s="7" t="s">
        <v>91</v>
      </c>
      <c r="C108" s="7">
        <f>Q22</f>
        <v>1</v>
      </c>
      <c r="D108" s="7" t="s">
        <v>17</v>
      </c>
      <c r="E108" s="86">
        <f t="shared" ref="E108" si="91">S22</f>
        <v>0.11374999999999999</v>
      </c>
      <c r="F108" s="5" t="str">
        <f t="shared" si="85"/>
        <v>Oz</v>
      </c>
      <c r="G108" s="5">
        <f t="shared" si="86"/>
        <v>0.11374999999999999</v>
      </c>
      <c r="I108" s="7" t="s">
        <v>91</v>
      </c>
      <c r="J108" s="7">
        <f>Q52</f>
        <v>4.375</v>
      </c>
      <c r="K108" s="7" t="str">
        <f t="shared" ref="K108:L108" si="92">R52</f>
        <v>Oz</v>
      </c>
      <c r="L108" s="86">
        <f t="shared" si="92"/>
        <v>0.11374999999999999</v>
      </c>
      <c r="M108" s="5" t="str">
        <f t="shared" si="87"/>
        <v>Oz</v>
      </c>
      <c r="N108" s="5">
        <f t="shared" si="88"/>
        <v>0.49765624999999997</v>
      </c>
    </row>
    <row r="109" spans="2:14" x14ac:dyDescent="0.35">
      <c r="B109" s="7" t="s">
        <v>90</v>
      </c>
      <c r="C109" s="7">
        <f>Q21</f>
        <v>1.5</v>
      </c>
      <c r="D109" s="7" t="s">
        <v>17</v>
      </c>
      <c r="E109" s="86">
        <f t="shared" ref="E109" si="93">S21</f>
        <v>0.12362903225806451</v>
      </c>
      <c r="F109" s="5" t="str">
        <f t="shared" ref="F109:F115" si="94">D109</f>
        <v>Oz</v>
      </c>
      <c r="G109" s="5">
        <f t="shared" ref="G109:G115" si="95">C109*E109</f>
        <v>0.18544354838709676</v>
      </c>
      <c r="I109" s="7" t="s">
        <v>90</v>
      </c>
      <c r="J109" s="7">
        <f>Q51</f>
        <v>6</v>
      </c>
      <c r="K109" s="7" t="str">
        <f t="shared" ref="K109:L109" si="96">R51</f>
        <v>Oz</v>
      </c>
      <c r="L109" s="86">
        <f t="shared" si="96"/>
        <v>0.12362903225806451</v>
      </c>
      <c r="M109" s="5" t="str">
        <f t="shared" ref="M109:M115" si="97">K109</f>
        <v>Oz</v>
      </c>
      <c r="N109" s="5">
        <f t="shared" ref="N109:N115" si="98">J109*L109</f>
        <v>0.74177419354838703</v>
      </c>
    </row>
    <row r="110" spans="2:14" x14ac:dyDescent="0.35">
      <c r="B110" s="7" t="s">
        <v>92</v>
      </c>
      <c r="C110" s="7">
        <f>Q23</f>
        <v>1</v>
      </c>
      <c r="D110" s="7" t="s">
        <v>17</v>
      </c>
      <c r="E110" s="86">
        <f t="shared" ref="E110" si="99">S23</f>
        <v>2.75E-2</v>
      </c>
      <c r="F110" s="5" t="str">
        <f t="shared" si="94"/>
        <v>Oz</v>
      </c>
      <c r="G110" s="5">
        <f t="shared" si="95"/>
        <v>2.75E-2</v>
      </c>
      <c r="I110" s="7" t="s">
        <v>92</v>
      </c>
      <c r="J110" s="7">
        <f>Q53</f>
        <v>4</v>
      </c>
      <c r="K110" s="7" t="str">
        <f t="shared" ref="K110:L110" si="100">R53</f>
        <v>Oz</v>
      </c>
      <c r="L110" s="86">
        <f t="shared" si="100"/>
        <v>2.75E-2</v>
      </c>
      <c r="M110" s="5" t="str">
        <f t="shared" si="97"/>
        <v>Oz</v>
      </c>
      <c r="N110" s="5">
        <f t="shared" si="98"/>
        <v>0.11</v>
      </c>
    </row>
    <row r="111" spans="2:14" x14ac:dyDescent="0.35">
      <c r="B111" s="7" t="s">
        <v>93</v>
      </c>
      <c r="C111" s="7">
        <f>Q24</f>
        <v>1.125</v>
      </c>
      <c r="D111" s="7" t="s">
        <v>17</v>
      </c>
      <c r="E111" s="86">
        <f t="shared" ref="E111" si="101">S24</f>
        <v>0.13027272727272726</v>
      </c>
      <c r="F111" s="5" t="str">
        <f t="shared" si="94"/>
        <v>Oz</v>
      </c>
      <c r="G111" s="5">
        <f t="shared" si="95"/>
        <v>0.14655681818181818</v>
      </c>
      <c r="I111" s="7" t="s">
        <v>93</v>
      </c>
      <c r="J111" s="7">
        <f>Q54</f>
        <v>3.875</v>
      </c>
      <c r="K111" s="7" t="str">
        <f t="shared" ref="K111:L111" si="102">R54</f>
        <v>Oz</v>
      </c>
      <c r="L111" s="86">
        <f t="shared" si="102"/>
        <v>0.13027272727272726</v>
      </c>
      <c r="M111" s="5" t="str">
        <f t="shared" si="97"/>
        <v>Oz</v>
      </c>
      <c r="N111" s="5">
        <f t="shared" si="98"/>
        <v>0.50480681818181816</v>
      </c>
    </row>
    <row r="112" spans="2:14" x14ac:dyDescent="0.35">
      <c r="B112" s="7" t="s">
        <v>107</v>
      </c>
      <c r="C112" s="7">
        <f>Q25</f>
        <v>0.875</v>
      </c>
      <c r="D112" s="7" t="s">
        <v>17</v>
      </c>
      <c r="E112" s="86">
        <f t="shared" ref="E112" si="103">S25</f>
        <v>0.113375</v>
      </c>
      <c r="F112" s="5" t="str">
        <f t="shared" si="94"/>
        <v>Oz</v>
      </c>
      <c r="G112" s="5">
        <f t="shared" si="95"/>
        <v>9.9203125000000003E-2</v>
      </c>
      <c r="I112" s="7" t="s">
        <v>107</v>
      </c>
      <c r="J112" s="7">
        <f>Q55</f>
        <v>2.75</v>
      </c>
      <c r="K112" s="7" t="str">
        <f t="shared" ref="K112:L112" si="104">R55</f>
        <v>Oz</v>
      </c>
      <c r="L112" s="86">
        <f t="shared" si="104"/>
        <v>0.113375</v>
      </c>
      <c r="M112" s="5" t="str">
        <f t="shared" si="97"/>
        <v>Oz</v>
      </c>
      <c r="N112" s="5">
        <f t="shared" si="98"/>
        <v>0.31178125000000001</v>
      </c>
    </row>
    <row r="113" spans="2:14" x14ac:dyDescent="0.35">
      <c r="B113" s="7" t="s">
        <v>311</v>
      </c>
      <c r="C113" s="7">
        <v>1</v>
      </c>
      <c r="D113" s="7" t="s">
        <v>103</v>
      </c>
      <c r="E113" s="86">
        <f>E12</f>
        <v>0.23005391524502131</v>
      </c>
      <c r="F113" s="5" t="str">
        <f t="shared" si="94"/>
        <v>4-oz side</v>
      </c>
      <c r="G113" s="5">
        <f t="shared" si="95"/>
        <v>0.23005391524502131</v>
      </c>
      <c r="I113" s="7" t="s">
        <v>311</v>
      </c>
      <c r="J113" s="7">
        <v>1</v>
      </c>
      <c r="K113" s="7" t="s">
        <v>103</v>
      </c>
      <c r="L113" s="86">
        <f>L12</f>
        <v>0.23005391524502131</v>
      </c>
      <c r="M113" s="5" t="str">
        <f t="shared" si="97"/>
        <v>4-oz side</v>
      </c>
      <c r="N113" s="5">
        <f t="shared" si="98"/>
        <v>0.23005391524502131</v>
      </c>
    </row>
    <row r="114" spans="2:14" x14ac:dyDescent="0.35">
      <c r="B114" s="7" t="s">
        <v>182</v>
      </c>
      <c r="C114" s="7">
        <v>1</v>
      </c>
      <c r="D114" s="7" t="s">
        <v>73</v>
      </c>
      <c r="E114" s="5">
        <f t="shared" ref="E114:E115" si="105">E13</f>
        <v>0.1149</v>
      </c>
      <c r="F114" s="5" t="str">
        <f t="shared" si="94"/>
        <v>Box</v>
      </c>
      <c r="G114" s="5">
        <f t="shared" si="95"/>
        <v>0.1149</v>
      </c>
      <c r="I114" s="7" t="s">
        <v>181</v>
      </c>
      <c r="J114" s="7">
        <v>1</v>
      </c>
      <c r="K114" s="7" t="s">
        <v>73</v>
      </c>
      <c r="L114" s="5">
        <f t="shared" ref="L114:L115" si="106">L13</f>
        <v>0.30980000000000002</v>
      </c>
      <c r="M114" s="5" t="str">
        <f t="shared" si="97"/>
        <v>Box</v>
      </c>
      <c r="N114" s="5">
        <f t="shared" si="98"/>
        <v>0.30980000000000002</v>
      </c>
    </row>
    <row r="115" spans="2:14" x14ac:dyDescent="0.35">
      <c r="B115" s="7" t="s">
        <v>183</v>
      </c>
      <c r="C115" s="7">
        <v>1</v>
      </c>
      <c r="D115" s="7" t="s">
        <v>74</v>
      </c>
      <c r="E115" s="5">
        <f t="shared" si="105"/>
        <v>7.7483333333333336E-3</v>
      </c>
      <c r="F115" s="5" t="str">
        <f t="shared" si="94"/>
        <v>Paper</v>
      </c>
      <c r="G115" s="5">
        <f t="shared" si="95"/>
        <v>7.7483333333333336E-3</v>
      </c>
      <c r="I115" s="7" t="s">
        <v>130</v>
      </c>
      <c r="J115" s="7">
        <v>1</v>
      </c>
      <c r="K115" s="7" t="s">
        <v>74</v>
      </c>
      <c r="L115" s="5">
        <f t="shared" si="106"/>
        <v>1.8434374999999999E-2</v>
      </c>
      <c r="M115" s="5" t="str">
        <f t="shared" si="97"/>
        <v>Paper</v>
      </c>
      <c r="N115" s="5">
        <f t="shared" si="98"/>
        <v>1.8434374999999999E-2</v>
      </c>
    </row>
    <row r="117" spans="2:14" ht="15.5" x14ac:dyDescent="0.35">
      <c r="B117" s="119" t="s">
        <v>202</v>
      </c>
      <c r="C117" s="120"/>
      <c r="D117" s="121"/>
      <c r="E117" s="122" t="s">
        <v>7</v>
      </c>
      <c r="F117" s="123"/>
      <c r="G117" s="30">
        <f>SUM(G121:G127)</f>
        <v>3.0990063222890538</v>
      </c>
      <c r="I117" s="119" t="s">
        <v>203</v>
      </c>
      <c r="J117" s="120"/>
      <c r="K117" s="121"/>
      <c r="L117" s="122" t="s">
        <v>7</v>
      </c>
      <c r="M117" s="123"/>
      <c r="N117" s="30">
        <f>SUM(N121:N127)</f>
        <v>7.3840893393233031</v>
      </c>
    </row>
    <row r="118" spans="2:14" x14ac:dyDescent="0.35">
      <c r="B118" s="9"/>
      <c r="G118" s="8"/>
      <c r="I118" s="9"/>
      <c r="N118" s="8"/>
    </row>
    <row r="119" spans="2:14" x14ac:dyDescent="0.35">
      <c r="B119" s="10"/>
      <c r="C119" s="124" t="s">
        <v>13</v>
      </c>
      <c r="D119" s="125"/>
      <c r="E119" s="124" t="s">
        <v>14</v>
      </c>
      <c r="F119" s="125"/>
      <c r="G119" s="5" t="s">
        <v>6</v>
      </c>
      <c r="I119" s="10"/>
      <c r="J119" s="124" t="s">
        <v>13</v>
      </c>
      <c r="K119" s="125"/>
      <c r="L119" s="124" t="s">
        <v>14</v>
      </c>
      <c r="M119" s="125"/>
      <c r="N119" s="5" t="s">
        <v>6</v>
      </c>
    </row>
    <row r="120" spans="2:14" x14ac:dyDescent="0.35">
      <c r="B120" s="5" t="s">
        <v>10</v>
      </c>
      <c r="C120" s="5" t="s">
        <v>2</v>
      </c>
      <c r="D120" s="5" t="s">
        <v>1</v>
      </c>
      <c r="E120" s="5" t="s">
        <v>11</v>
      </c>
      <c r="F120" s="5" t="s">
        <v>1</v>
      </c>
      <c r="G120" s="5" t="s">
        <v>15</v>
      </c>
      <c r="I120" s="5" t="s">
        <v>10</v>
      </c>
      <c r="J120" s="5" t="s">
        <v>2</v>
      </c>
      <c r="K120" s="5" t="s">
        <v>1</v>
      </c>
      <c r="L120" s="5" t="s">
        <v>11</v>
      </c>
      <c r="M120" s="5" t="s">
        <v>1</v>
      </c>
      <c r="N120" s="5" t="s">
        <v>15</v>
      </c>
    </row>
    <row r="121" spans="2:14" x14ac:dyDescent="0.35">
      <c r="B121" s="7" t="s">
        <v>61</v>
      </c>
      <c r="C121" s="7">
        <v>5.5</v>
      </c>
      <c r="D121" s="7" t="s">
        <v>17</v>
      </c>
      <c r="E121" s="5">
        <f>E8</f>
        <v>3.3574516898448738E-2</v>
      </c>
      <c r="F121" s="5" t="str">
        <f>D121</f>
        <v>Oz</v>
      </c>
      <c r="G121" s="5">
        <f>C121*E121</f>
        <v>0.18465984294146806</v>
      </c>
      <c r="I121" s="7" t="s">
        <v>61</v>
      </c>
      <c r="J121" s="7">
        <v>14</v>
      </c>
      <c r="K121" s="7" t="s">
        <v>17</v>
      </c>
      <c r="L121" s="5">
        <f>L8</f>
        <v>3.3574516898448738E-2</v>
      </c>
      <c r="M121" s="5" t="str">
        <f>K121</f>
        <v>Oz</v>
      </c>
      <c r="N121" s="5">
        <f>J121*L121</f>
        <v>0.47004323657828234</v>
      </c>
    </row>
    <row r="122" spans="2:14" x14ac:dyDescent="0.35">
      <c r="B122" s="7" t="s">
        <v>22</v>
      </c>
      <c r="C122" s="7">
        <f>C9</f>
        <v>5.75</v>
      </c>
      <c r="D122" s="7" t="s">
        <v>17</v>
      </c>
      <c r="E122" s="5">
        <f>S11</f>
        <v>0.23137019230769232</v>
      </c>
      <c r="F122" s="5" t="str">
        <f t="shared" ref="F122:F124" si="107">D122</f>
        <v>Oz</v>
      </c>
      <c r="G122" s="5">
        <f t="shared" ref="G122:G124" si="108">C122*E122</f>
        <v>1.3303786057692308</v>
      </c>
      <c r="I122" s="7" t="s">
        <v>22</v>
      </c>
      <c r="J122" s="7">
        <f>J9</f>
        <v>17.25</v>
      </c>
      <c r="K122" s="7" t="s">
        <v>17</v>
      </c>
      <c r="L122" s="5">
        <f>S48</f>
        <v>0.18312500000000001</v>
      </c>
      <c r="M122" s="5" t="str">
        <f t="shared" ref="M122:M124" si="109">K122</f>
        <v>Oz</v>
      </c>
      <c r="N122" s="5">
        <f t="shared" ref="N122:N124" si="110">J122*L122</f>
        <v>3.1589062500000002</v>
      </c>
    </row>
    <row r="123" spans="2:14" x14ac:dyDescent="0.35">
      <c r="B123" s="7" t="s">
        <v>82</v>
      </c>
      <c r="C123" s="7">
        <f>Q19</f>
        <v>2.125</v>
      </c>
      <c r="D123" s="7" t="s">
        <v>17</v>
      </c>
      <c r="E123" s="5">
        <f>S19</f>
        <v>0.15625</v>
      </c>
      <c r="F123" s="5" t="str">
        <f t="shared" si="107"/>
        <v>Oz</v>
      </c>
      <c r="G123" s="5">
        <f t="shared" si="108"/>
        <v>0.33203125</v>
      </c>
      <c r="I123" s="7" t="s">
        <v>82</v>
      </c>
      <c r="J123" s="7">
        <f>Q49</f>
        <v>6.375</v>
      </c>
      <c r="K123" s="7" t="s">
        <v>17</v>
      </c>
      <c r="L123" s="5">
        <f>S49</f>
        <v>0.15625</v>
      </c>
      <c r="M123" s="5" t="str">
        <f t="shared" si="109"/>
        <v>Oz</v>
      </c>
      <c r="N123" s="5">
        <f t="shared" si="110"/>
        <v>0.99609375</v>
      </c>
    </row>
    <row r="124" spans="2:14" x14ac:dyDescent="0.35">
      <c r="B124" s="7" t="s">
        <v>204</v>
      </c>
      <c r="C124" s="7">
        <v>4.75</v>
      </c>
      <c r="D124" s="7" t="s">
        <v>17</v>
      </c>
      <c r="E124" s="5">
        <f>'Food Prices'!L43</f>
        <v>0.18931249999999999</v>
      </c>
      <c r="F124" s="5" t="str">
        <f t="shared" si="107"/>
        <v>Oz</v>
      </c>
      <c r="G124" s="5">
        <f t="shared" si="108"/>
        <v>0.89923437500000003</v>
      </c>
      <c r="I124" s="7" t="s">
        <v>204</v>
      </c>
      <c r="J124" s="7">
        <v>11.625</v>
      </c>
      <c r="K124" s="7" t="s">
        <v>17</v>
      </c>
      <c r="L124" s="5">
        <f>E124</f>
        <v>0.18931249999999999</v>
      </c>
      <c r="M124" s="5" t="str">
        <f t="shared" si="109"/>
        <v>Oz</v>
      </c>
      <c r="N124" s="5">
        <f t="shared" si="110"/>
        <v>2.2007578125</v>
      </c>
    </row>
    <row r="125" spans="2:14" x14ac:dyDescent="0.35">
      <c r="B125" s="7" t="s">
        <v>311</v>
      </c>
      <c r="C125" s="7">
        <v>1</v>
      </c>
      <c r="D125" s="7" t="s">
        <v>103</v>
      </c>
      <c r="E125" s="5">
        <f>E12</f>
        <v>0.23005391524502131</v>
      </c>
      <c r="F125" s="5" t="str">
        <f>D125</f>
        <v>4-oz side</v>
      </c>
      <c r="G125" s="5">
        <f>C125*E125</f>
        <v>0.23005391524502131</v>
      </c>
      <c r="I125" s="7" t="s">
        <v>311</v>
      </c>
      <c r="J125" s="7">
        <v>1</v>
      </c>
      <c r="K125" s="7" t="s">
        <v>103</v>
      </c>
      <c r="L125" s="5">
        <f>L12</f>
        <v>0.23005391524502131</v>
      </c>
      <c r="M125" s="5" t="str">
        <f>K125</f>
        <v>4-oz side</v>
      </c>
      <c r="N125" s="5">
        <f>J125*L125</f>
        <v>0.23005391524502131</v>
      </c>
    </row>
    <row r="126" spans="2:14" x14ac:dyDescent="0.35">
      <c r="B126" s="7" t="s">
        <v>182</v>
      </c>
      <c r="C126" s="7">
        <v>1</v>
      </c>
      <c r="D126" s="7" t="s">
        <v>73</v>
      </c>
      <c r="E126" s="5">
        <f t="shared" ref="E126:E127" si="111">E13</f>
        <v>0.1149</v>
      </c>
      <c r="F126" s="5" t="str">
        <f>D126</f>
        <v>Box</v>
      </c>
      <c r="G126" s="5">
        <f>C126*E126</f>
        <v>0.1149</v>
      </c>
      <c r="I126" s="7" t="s">
        <v>181</v>
      </c>
      <c r="J126" s="7">
        <v>1</v>
      </c>
      <c r="K126" s="7" t="s">
        <v>73</v>
      </c>
      <c r="L126" s="5">
        <f t="shared" ref="L126:L127" si="112">L13</f>
        <v>0.30980000000000002</v>
      </c>
      <c r="M126" s="5" t="str">
        <f>K126</f>
        <v>Box</v>
      </c>
      <c r="N126" s="5">
        <f>J126*L126</f>
        <v>0.30980000000000002</v>
      </c>
    </row>
    <row r="127" spans="2:14" x14ac:dyDescent="0.35">
      <c r="B127" s="7" t="s">
        <v>183</v>
      </c>
      <c r="C127" s="7">
        <v>1</v>
      </c>
      <c r="D127" s="7" t="s">
        <v>74</v>
      </c>
      <c r="E127" s="5">
        <f t="shared" si="111"/>
        <v>7.7483333333333336E-3</v>
      </c>
      <c r="F127" s="5" t="str">
        <f>D127</f>
        <v>Paper</v>
      </c>
      <c r="G127" s="5">
        <f>C127*E127</f>
        <v>7.7483333333333336E-3</v>
      </c>
      <c r="I127" s="7" t="s">
        <v>130</v>
      </c>
      <c r="J127" s="7">
        <v>1</v>
      </c>
      <c r="K127" s="7" t="s">
        <v>74</v>
      </c>
      <c r="L127" s="5">
        <f t="shared" si="112"/>
        <v>1.8434374999999999E-2</v>
      </c>
      <c r="M127" s="5" t="str">
        <f>K127</f>
        <v>Paper</v>
      </c>
      <c r="N127" s="5">
        <f>J127*L127</f>
        <v>1.8434374999999999E-2</v>
      </c>
    </row>
  </sheetData>
  <mergeCells count="79">
    <mergeCell ref="B101:D101"/>
    <mergeCell ref="E101:F101"/>
    <mergeCell ref="I101:K101"/>
    <mergeCell ref="L101:M101"/>
    <mergeCell ref="C119:D119"/>
    <mergeCell ref="E119:F119"/>
    <mergeCell ref="J119:K119"/>
    <mergeCell ref="L119:M119"/>
    <mergeCell ref="C103:D103"/>
    <mergeCell ref="E103:F103"/>
    <mergeCell ref="J103:K103"/>
    <mergeCell ref="L103:M103"/>
    <mergeCell ref="B117:D117"/>
    <mergeCell ref="E117:F117"/>
    <mergeCell ref="I117:K117"/>
    <mergeCell ref="L117:M117"/>
    <mergeCell ref="B89:D89"/>
    <mergeCell ref="E89:F89"/>
    <mergeCell ref="I89:K89"/>
    <mergeCell ref="L89:M89"/>
    <mergeCell ref="C91:D91"/>
    <mergeCell ref="E91:F91"/>
    <mergeCell ref="J91:K91"/>
    <mergeCell ref="L91:M91"/>
    <mergeCell ref="C80:D80"/>
    <mergeCell ref="E80:F80"/>
    <mergeCell ref="J80:K80"/>
    <mergeCell ref="L80:M80"/>
    <mergeCell ref="B78:D78"/>
    <mergeCell ref="E78:F78"/>
    <mergeCell ref="I78:K78"/>
    <mergeCell ref="L78:M78"/>
    <mergeCell ref="B59:D59"/>
    <mergeCell ref="E59:F59"/>
    <mergeCell ref="I59:K59"/>
    <mergeCell ref="L59:M59"/>
    <mergeCell ref="C76:O76"/>
    <mergeCell ref="C61:D61"/>
    <mergeCell ref="E61:F61"/>
    <mergeCell ref="J61:K61"/>
    <mergeCell ref="L61:M61"/>
    <mergeCell ref="L30:M30"/>
    <mergeCell ref="B43:D43"/>
    <mergeCell ref="E43:F43"/>
    <mergeCell ref="I43:K43"/>
    <mergeCell ref="L43:M43"/>
    <mergeCell ref="C45:D45"/>
    <mergeCell ref="E45:F45"/>
    <mergeCell ref="J45:K45"/>
    <mergeCell ref="L45:M45"/>
    <mergeCell ref="L16:M16"/>
    <mergeCell ref="C18:D18"/>
    <mergeCell ref="E18:F18"/>
    <mergeCell ref="J18:K18"/>
    <mergeCell ref="L18:M18"/>
    <mergeCell ref="B28:D28"/>
    <mergeCell ref="E28:F28"/>
    <mergeCell ref="I28:K28"/>
    <mergeCell ref="L28:M28"/>
    <mergeCell ref="C30:D30"/>
    <mergeCell ref="E30:F30"/>
    <mergeCell ref="J30:K30"/>
    <mergeCell ref="C1:O1"/>
    <mergeCell ref="B16:D16"/>
    <mergeCell ref="E16:F16"/>
    <mergeCell ref="I16:K16"/>
    <mergeCell ref="C6:D6"/>
    <mergeCell ref="E6:F6"/>
    <mergeCell ref="J6:K6"/>
    <mergeCell ref="L6:M6"/>
    <mergeCell ref="B4:D4"/>
    <mergeCell ref="E4:F4"/>
    <mergeCell ref="I4:K4"/>
    <mergeCell ref="L4:M4"/>
    <mergeCell ref="P34:U34"/>
    <mergeCell ref="S36:T36"/>
    <mergeCell ref="P4:U4"/>
    <mergeCell ref="Q6:R6"/>
    <mergeCell ref="S6:T6"/>
  </mergeCells>
  <pageMargins left="0.25" right="0.25" top="0.75" bottom="0.75" header="0.3" footer="0.3"/>
  <pageSetup scale="61"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7AC46-8647-4A94-8A63-8B8E396AF8E2}">
  <sheetPr codeName="Sheet7">
    <pageSetUpPr fitToPage="1"/>
  </sheetPr>
  <dimension ref="B1:U85"/>
  <sheetViews>
    <sheetView showGridLines="0" topLeftCell="H1" zoomScale="70" zoomScaleNormal="70" workbookViewId="0">
      <selection activeCell="C1" sqref="C1:O1"/>
    </sheetView>
  </sheetViews>
  <sheetFormatPr defaultRowHeight="14.5" x14ac:dyDescent="0.35"/>
  <cols>
    <col min="1" max="1" width="3.1796875" customWidth="1"/>
    <col min="2" max="2" width="16.6328125" bestFit="1" customWidth="1"/>
    <col min="5" max="5" width="12.26953125" bestFit="1" customWidth="1"/>
    <col min="9" max="9" width="18.54296875" customWidth="1"/>
    <col min="12" max="12" width="12.26953125" bestFit="1" customWidth="1"/>
    <col min="16" max="16" width="16.6328125" bestFit="1" customWidth="1"/>
    <col min="19" max="19" width="12.26953125" bestFit="1" customWidth="1"/>
  </cols>
  <sheetData>
    <row r="1" spans="2:21" ht="23.5" x14ac:dyDescent="0.55000000000000004">
      <c r="C1" s="118" t="s">
        <v>222</v>
      </c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2:21" x14ac:dyDescent="0.35">
      <c r="E2" s="132" t="s">
        <v>477</v>
      </c>
      <c r="F2" s="132"/>
      <c r="G2" s="101" t="s">
        <v>478</v>
      </c>
      <c r="H2" s="101"/>
      <c r="I2" s="101" t="s">
        <v>406</v>
      </c>
      <c r="J2" s="101">
        <v>11.625</v>
      </c>
      <c r="K2" s="101" t="s">
        <v>17</v>
      </c>
      <c r="L2" s="102" t="s">
        <v>408</v>
      </c>
      <c r="M2" s="101">
        <v>3.375</v>
      </c>
      <c r="N2" s="101" t="s">
        <v>17</v>
      </c>
    </row>
    <row r="3" spans="2:21" x14ac:dyDescent="0.35">
      <c r="I3" s="101"/>
      <c r="J3" s="101"/>
      <c r="K3" s="101"/>
    </row>
    <row r="4" spans="2:21" ht="15.5" x14ac:dyDescent="0.35">
      <c r="B4" s="119" t="s">
        <v>287</v>
      </c>
      <c r="C4" s="120"/>
      <c r="D4" s="121"/>
      <c r="E4" s="122" t="s">
        <v>7</v>
      </c>
      <c r="F4" s="123"/>
      <c r="G4" s="30">
        <f>SUM(G8:G16)</f>
        <v>0.6543094496434938</v>
      </c>
      <c r="I4" s="119" t="s">
        <v>293</v>
      </c>
      <c r="J4" s="120"/>
      <c r="K4" s="121"/>
      <c r="L4" s="122" t="s">
        <v>7</v>
      </c>
      <c r="M4" s="123"/>
      <c r="N4" s="30">
        <f>SUM(N8:N17)</f>
        <v>2.112789733748031</v>
      </c>
      <c r="P4" s="119" t="s">
        <v>325</v>
      </c>
      <c r="Q4" s="120"/>
      <c r="R4" s="121"/>
      <c r="S4" s="122" t="s">
        <v>7</v>
      </c>
      <c r="T4" s="123"/>
      <c r="U4" s="30">
        <f>SUM(U8:U18)</f>
        <v>2.5527192615305969</v>
      </c>
    </row>
    <row r="5" spans="2:21" x14ac:dyDescent="0.35">
      <c r="B5" s="9"/>
      <c r="G5" s="8"/>
      <c r="I5" s="9"/>
      <c r="N5" s="8"/>
      <c r="P5" s="9"/>
      <c r="U5" s="8"/>
    </row>
    <row r="6" spans="2:21" x14ac:dyDescent="0.35">
      <c r="B6" s="10"/>
      <c r="C6" s="124" t="s">
        <v>13</v>
      </c>
      <c r="D6" s="125"/>
      <c r="E6" s="124" t="s">
        <v>14</v>
      </c>
      <c r="F6" s="125"/>
      <c r="G6" s="5" t="s">
        <v>6</v>
      </c>
      <c r="I6" s="10"/>
      <c r="J6" s="124" t="s">
        <v>13</v>
      </c>
      <c r="K6" s="125"/>
      <c r="L6" s="124" t="s">
        <v>14</v>
      </c>
      <c r="M6" s="125"/>
      <c r="N6" s="5" t="s">
        <v>6</v>
      </c>
      <c r="P6" s="10"/>
      <c r="Q6" s="124" t="s">
        <v>13</v>
      </c>
      <c r="R6" s="125"/>
      <c r="S6" s="124" t="s">
        <v>14</v>
      </c>
      <c r="T6" s="125"/>
      <c r="U6" s="5" t="s">
        <v>6</v>
      </c>
    </row>
    <row r="7" spans="2:21" x14ac:dyDescent="0.35">
      <c r="B7" s="5" t="s">
        <v>10</v>
      </c>
      <c r="C7" s="5" t="s">
        <v>2</v>
      </c>
      <c r="D7" s="5" t="s">
        <v>1</v>
      </c>
      <c r="E7" s="5" t="s">
        <v>11</v>
      </c>
      <c r="F7" s="5" t="s">
        <v>1</v>
      </c>
      <c r="G7" s="5" t="s">
        <v>15</v>
      </c>
      <c r="I7" s="5" t="s">
        <v>10</v>
      </c>
      <c r="J7" s="5" t="s">
        <v>2</v>
      </c>
      <c r="K7" s="5" t="s">
        <v>1</v>
      </c>
      <c r="L7" s="5" t="s">
        <v>11</v>
      </c>
      <c r="M7" s="5" t="s">
        <v>1</v>
      </c>
      <c r="N7" s="5" t="s">
        <v>15</v>
      </c>
      <c r="P7" s="5" t="s">
        <v>10</v>
      </c>
      <c r="Q7" s="5" t="s">
        <v>2</v>
      </c>
      <c r="R7" s="5" t="s">
        <v>1</v>
      </c>
      <c r="S7" s="5" t="s">
        <v>11</v>
      </c>
      <c r="T7" s="5" t="s">
        <v>1</v>
      </c>
      <c r="U7" s="5" t="s">
        <v>15</v>
      </c>
    </row>
    <row r="8" spans="2:21" x14ac:dyDescent="0.35">
      <c r="B8" s="7" t="s">
        <v>232</v>
      </c>
      <c r="C8" s="7">
        <f>M2*5/9</f>
        <v>1.875</v>
      </c>
      <c r="D8" s="7" t="s">
        <v>17</v>
      </c>
      <c r="E8" s="5">
        <f>'Food Prices'!L91</f>
        <v>7.2727272727272724E-2</v>
      </c>
      <c r="F8" s="5" t="str">
        <f>D8</f>
        <v>Oz</v>
      </c>
      <c r="G8" s="5">
        <f>C8*E8</f>
        <v>0.13636363636363635</v>
      </c>
      <c r="I8" s="7" t="s">
        <v>232</v>
      </c>
      <c r="J8" s="7">
        <f>J2*5/9</f>
        <v>6.458333333333333</v>
      </c>
      <c r="K8" s="7" t="s">
        <v>17</v>
      </c>
      <c r="L8" s="5">
        <f>E8</f>
        <v>7.2727272727272724E-2</v>
      </c>
      <c r="M8" s="5" t="str">
        <f>K8</f>
        <v>Oz</v>
      </c>
      <c r="N8" s="5">
        <f>J8*L8</f>
        <v>0.46969696969696967</v>
      </c>
      <c r="P8" s="7" t="s">
        <v>232</v>
      </c>
      <c r="Q8" s="7">
        <f>J8</f>
        <v>6.458333333333333</v>
      </c>
      <c r="R8" s="7" t="str">
        <f t="shared" ref="R8:S17" si="0">K8</f>
        <v>Oz</v>
      </c>
      <c r="S8" s="90">
        <f t="shared" si="0"/>
        <v>7.2727272727272724E-2</v>
      </c>
      <c r="T8" s="5" t="str">
        <f>R8</f>
        <v>Oz</v>
      </c>
      <c r="U8" s="5">
        <f>Q8*S8</f>
        <v>0.46969696969696967</v>
      </c>
    </row>
    <row r="9" spans="2:21" x14ac:dyDescent="0.35">
      <c r="B9" s="7" t="s">
        <v>233</v>
      </c>
      <c r="C9" s="7">
        <f>M2*4/9</f>
        <v>1.5</v>
      </c>
      <c r="D9" s="7" t="s">
        <v>17</v>
      </c>
      <c r="E9" s="5">
        <f>'Food Prices'!L86</f>
        <v>9.7537878787878798E-2</v>
      </c>
      <c r="F9" s="5" t="str">
        <f t="shared" ref="F9:F15" si="1">D9</f>
        <v>Oz</v>
      </c>
      <c r="G9" s="5">
        <f t="shared" ref="G9:G15" si="2">C9*E9</f>
        <v>0.1463068181818182</v>
      </c>
      <c r="I9" s="7" t="s">
        <v>233</v>
      </c>
      <c r="J9" s="7">
        <f>J2*4/9</f>
        <v>5.166666666666667</v>
      </c>
      <c r="K9" s="7" t="s">
        <v>17</v>
      </c>
      <c r="L9" s="5">
        <f>E9</f>
        <v>9.7537878787878798E-2</v>
      </c>
      <c r="M9" s="5" t="str">
        <f t="shared" ref="M9:M13" si="3">K9</f>
        <v>Oz</v>
      </c>
      <c r="N9" s="5">
        <f t="shared" ref="N9:N15" si="4">J9*L9</f>
        <v>0.50394570707070718</v>
      </c>
      <c r="P9" s="7" t="s">
        <v>233</v>
      </c>
      <c r="Q9" s="7">
        <f t="shared" ref="Q9:Q17" si="5">J9</f>
        <v>5.166666666666667</v>
      </c>
      <c r="R9" s="7" t="str">
        <f t="shared" si="0"/>
        <v>Oz</v>
      </c>
      <c r="S9" s="90">
        <f t="shared" si="0"/>
        <v>9.7537878787878798E-2</v>
      </c>
      <c r="T9" s="5" t="str">
        <f t="shared" ref="T9:T13" si="6">R9</f>
        <v>Oz</v>
      </c>
      <c r="U9" s="5">
        <f t="shared" ref="U9:U15" si="7">Q9*S9</f>
        <v>0.50394570707070718</v>
      </c>
    </row>
    <row r="10" spans="2:21" x14ac:dyDescent="0.35">
      <c r="B10" s="7" t="s">
        <v>92</v>
      </c>
      <c r="C10" s="7">
        <v>0.375</v>
      </c>
      <c r="D10" s="7" t="s">
        <v>17</v>
      </c>
      <c r="E10" s="5">
        <f>'Food Prices'!L88</f>
        <v>2.75E-2</v>
      </c>
      <c r="F10" s="5" t="str">
        <f t="shared" si="1"/>
        <v>Oz</v>
      </c>
      <c r="G10" s="5">
        <f t="shared" si="2"/>
        <v>1.03125E-2</v>
      </c>
      <c r="I10" s="7" t="s">
        <v>92</v>
      </c>
      <c r="J10" s="7">
        <v>2.125</v>
      </c>
      <c r="K10" s="7" t="s">
        <v>17</v>
      </c>
      <c r="L10" s="5">
        <f>'Food Prices'!L88</f>
        <v>2.75E-2</v>
      </c>
      <c r="M10" s="5" t="str">
        <f t="shared" si="3"/>
        <v>Oz</v>
      </c>
      <c r="N10" s="5">
        <f t="shared" si="4"/>
        <v>5.8437500000000003E-2</v>
      </c>
      <c r="P10" s="7" t="s">
        <v>92</v>
      </c>
      <c r="Q10" s="7">
        <f t="shared" si="5"/>
        <v>2.125</v>
      </c>
      <c r="R10" s="7" t="str">
        <f t="shared" si="0"/>
        <v>Oz</v>
      </c>
      <c r="S10" s="90">
        <f t="shared" si="0"/>
        <v>2.75E-2</v>
      </c>
      <c r="T10" s="5" t="str">
        <f t="shared" si="6"/>
        <v>Oz</v>
      </c>
      <c r="U10" s="5">
        <f t="shared" si="7"/>
        <v>5.8437500000000003E-2</v>
      </c>
    </row>
    <row r="11" spans="2:21" x14ac:dyDescent="0.35">
      <c r="B11" s="7" t="s">
        <v>288</v>
      </c>
      <c r="C11" s="7">
        <v>1.625</v>
      </c>
      <c r="D11" s="7" t="s">
        <v>17</v>
      </c>
      <c r="E11" s="5">
        <f>'Food Prices'!L90</f>
        <v>0.06</v>
      </c>
      <c r="F11" s="5" t="str">
        <f t="shared" si="1"/>
        <v>Oz</v>
      </c>
      <c r="G11" s="5">
        <f t="shared" si="2"/>
        <v>9.7500000000000003E-2</v>
      </c>
      <c r="I11" s="7" t="s">
        <v>288</v>
      </c>
      <c r="J11" s="7">
        <v>3.625</v>
      </c>
      <c r="K11" s="7" t="s">
        <v>17</v>
      </c>
      <c r="L11" s="5">
        <f>'Food Prices'!L90</f>
        <v>0.06</v>
      </c>
      <c r="M11" s="5" t="str">
        <f t="shared" si="3"/>
        <v>Oz</v>
      </c>
      <c r="N11" s="5">
        <f t="shared" si="4"/>
        <v>0.2175</v>
      </c>
      <c r="P11" s="7" t="s">
        <v>288</v>
      </c>
      <c r="Q11" s="7">
        <f t="shared" si="5"/>
        <v>3.625</v>
      </c>
      <c r="R11" s="7" t="str">
        <f t="shared" si="0"/>
        <v>Oz</v>
      </c>
      <c r="S11" s="90">
        <f t="shared" si="0"/>
        <v>0.06</v>
      </c>
      <c r="T11" s="5" t="str">
        <f t="shared" si="6"/>
        <v>Oz</v>
      </c>
      <c r="U11" s="5">
        <f t="shared" si="7"/>
        <v>0.2175</v>
      </c>
    </row>
    <row r="12" spans="2:21" x14ac:dyDescent="0.35">
      <c r="B12" s="7" t="s">
        <v>234</v>
      </c>
      <c r="C12" s="7">
        <v>0.875</v>
      </c>
      <c r="D12" s="7" t="s">
        <v>17</v>
      </c>
      <c r="E12" s="5">
        <f>'Food Prices'!L84</f>
        <v>5.0666666666666665E-2</v>
      </c>
      <c r="F12" s="5" t="str">
        <f t="shared" si="1"/>
        <v>Oz</v>
      </c>
      <c r="G12" s="5">
        <f t="shared" si="2"/>
        <v>4.4333333333333336E-2</v>
      </c>
      <c r="I12" s="7" t="s">
        <v>234</v>
      </c>
      <c r="J12" s="7">
        <v>2.5</v>
      </c>
      <c r="K12" s="7" t="s">
        <v>17</v>
      </c>
      <c r="L12" s="5">
        <f>'Food Prices'!L84</f>
        <v>5.0666666666666665E-2</v>
      </c>
      <c r="M12" s="5" t="str">
        <f t="shared" si="3"/>
        <v>Oz</v>
      </c>
      <c r="N12" s="5">
        <f t="shared" si="4"/>
        <v>0.12666666666666665</v>
      </c>
      <c r="P12" s="7" t="s">
        <v>234</v>
      </c>
      <c r="Q12" s="7">
        <f t="shared" si="5"/>
        <v>2.5</v>
      </c>
      <c r="R12" s="7" t="str">
        <f t="shared" si="0"/>
        <v>Oz</v>
      </c>
      <c r="S12" s="90">
        <f t="shared" si="0"/>
        <v>5.0666666666666665E-2</v>
      </c>
      <c r="T12" s="5" t="str">
        <f t="shared" si="6"/>
        <v>Oz</v>
      </c>
      <c r="U12" s="5">
        <f t="shared" si="7"/>
        <v>0.12666666666666665</v>
      </c>
    </row>
    <row r="13" spans="2:21" x14ac:dyDescent="0.35">
      <c r="B13" s="7" t="s">
        <v>22</v>
      </c>
      <c r="C13" s="7">
        <v>0.75</v>
      </c>
      <c r="D13" s="7" t="s">
        <v>17</v>
      </c>
      <c r="E13" s="5">
        <f>'Food Prices'!L22</f>
        <v>0.18312500000000001</v>
      </c>
      <c r="F13" s="5" t="str">
        <f t="shared" si="1"/>
        <v>Oz</v>
      </c>
      <c r="G13" s="5">
        <f t="shared" si="2"/>
        <v>0.13734375000000001</v>
      </c>
      <c r="I13" s="7" t="s">
        <v>22</v>
      </c>
      <c r="J13" s="7">
        <v>2.5</v>
      </c>
      <c r="K13" s="7" t="s">
        <v>17</v>
      </c>
      <c r="L13" s="5">
        <f>'Food Prices'!L22</f>
        <v>0.18312500000000001</v>
      </c>
      <c r="M13" s="5" t="str">
        <f t="shared" si="3"/>
        <v>Oz</v>
      </c>
      <c r="N13" s="5">
        <f t="shared" si="4"/>
        <v>0.45781250000000001</v>
      </c>
      <c r="P13" s="7" t="s">
        <v>104</v>
      </c>
      <c r="Q13" s="7">
        <v>1.25</v>
      </c>
      <c r="R13" s="7" t="str">
        <f t="shared" si="0"/>
        <v>Oz</v>
      </c>
      <c r="S13" s="90">
        <f t="shared" si="0"/>
        <v>0.18312500000000001</v>
      </c>
      <c r="T13" s="5" t="str">
        <f t="shared" si="6"/>
        <v>Oz</v>
      </c>
      <c r="U13" s="5">
        <f t="shared" si="7"/>
        <v>0.22890625000000001</v>
      </c>
    </row>
    <row r="14" spans="2:21" x14ac:dyDescent="0.35">
      <c r="B14" s="7" t="s">
        <v>289</v>
      </c>
      <c r="C14" s="7">
        <v>1</v>
      </c>
      <c r="D14" s="87" t="s">
        <v>292</v>
      </c>
      <c r="E14" s="5">
        <f>'Paper Product Prices'!H31</f>
        <v>1.1929411764705883E-2</v>
      </c>
      <c r="F14" s="88" t="str">
        <f t="shared" si="1"/>
        <v>Count</v>
      </c>
      <c r="G14" s="5">
        <f t="shared" si="2"/>
        <v>1.1929411764705883E-2</v>
      </c>
      <c r="I14" s="7" t="s">
        <v>289</v>
      </c>
      <c r="J14" s="7">
        <v>1</v>
      </c>
      <c r="K14" s="87" t="s">
        <v>292</v>
      </c>
      <c r="L14" s="5">
        <f>E14</f>
        <v>1.1929411764705883E-2</v>
      </c>
      <c r="M14" s="88" t="str">
        <f>K14</f>
        <v>Count</v>
      </c>
      <c r="N14" s="5">
        <f t="shared" si="4"/>
        <v>1.1929411764705883E-2</v>
      </c>
      <c r="P14" s="7" t="s">
        <v>289</v>
      </c>
      <c r="Q14" s="7">
        <f t="shared" si="5"/>
        <v>1</v>
      </c>
      <c r="R14" s="7" t="str">
        <f t="shared" si="0"/>
        <v>Count</v>
      </c>
      <c r="S14" s="90">
        <f t="shared" si="0"/>
        <v>1.1929411764705883E-2</v>
      </c>
      <c r="T14" s="88" t="str">
        <f>R14</f>
        <v>Count</v>
      </c>
      <c r="U14" s="5">
        <f t="shared" si="7"/>
        <v>1.1929411764705883E-2</v>
      </c>
    </row>
    <row r="15" spans="2:21" x14ac:dyDescent="0.35">
      <c r="B15" s="7" t="s">
        <v>290</v>
      </c>
      <c r="C15" s="7">
        <v>1</v>
      </c>
      <c r="D15" s="7" t="s">
        <v>292</v>
      </c>
      <c r="E15" s="5">
        <f>'Paper Product Prices'!H30</f>
        <v>3.6240000000000001E-2</v>
      </c>
      <c r="F15" s="5" t="str">
        <f t="shared" si="1"/>
        <v>Count</v>
      </c>
      <c r="G15" s="5">
        <f t="shared" si="2"/>
        <v>3.6240000000000001E-2</v>
      </c>
      <c r="I15" s="7" t="s">
        <v>290</v>
      </c>
      <c r="J15" s="7">
        <v>1</v>
      </c>
      <c r="K15" s="7" t="s">
        <v>292</v>
      </c>
      <c r="L15" s="5">
        <f t="shared" ref="L15:L16" si="8">E15</f>
        <v>3.6240000000000001E-2</v>
      </c>
      <c r="M15" s="5" t="str">
        <f>K15</f>
        <v>Count</v>
      </c>
      <c r="N15" s="5">
        <f t="shared" si="4"/>
        <v>3.6240000000000001E-2</v>
      </c>
      <c r="P15" s="7" t="s">
        <v>290</v>
      </c>
      <c r="Q15" s="7">
        <f t="shared" si="5"/>
        <v>1</v>
      </c>
      <c r="R15" s="7" t="str">
        <f t="shared" si="0"/>
        <v>Count</v>
      </c>
      <c r="S15" s="90">
        <f t="shared" si="0"/>
        <v>3.6240000000000001E-2</v>
      </c>
      <c r="T15" s="5" t="str">
        <f>R15</f>
        <v>Count</v>
      </c>
      <c r="U15" s="5">
        <f t="shared" si="7"/>
        <v>3.6240000000000001E-2</v>
      </c>
    </row>
    <row r="16" spans="2:21" x14ac:dyDescent="0.35">
      <c r="B16" s="7" t="s">
        <v>291</v>
      </c>
      <c r="C16" s="7">
        <v>1</v>
      </c>
      <c r="D16" s="7" t="s">
        <v>292</v>
      </c>
      <c r="E16" s="5">
        <f>'Paper Product Prices'!H25</f>
        <v>3.3979999999999996E-2</v>
      </c>
      <c r="F16" s="5" t="str">
        <f>D16</f>
        <v>Count</v>
      </c>
      <c r="G16" s="5">
        <f>C16*E16</f>
        <v>3.3979999999999996E-2</v>
      </c>
      <c r="I16" s="7" t="s">
        <v>291</v>
      </c>
      <c r="J16" s="7">
        <v>1</v>
      </c>
      <c r="K16" s="7" t="s">
        <v>292</v>
      </c>
      <c r="L16" s="5">
        <f t="shared" si="8"/>
        <v>3.3979999999999996E-2</v>
      </c>
      <c r="M16" s="5" t="str">
        <f>K16</f>
        <v>Count</v>
      </c>
      <c r="N16" s="5">
        <f>J16*L16</f>
        <v>3.3979999999999996E-2</v>
      </c>
      <c r="P16" s="7" t="s">
        <v>291</v>
      </c>
      <c r="Q16" s="7">
        <f t="shared" si="5"/>
        <v>1</v>
      </c>
      <c r="R16" s="7" t="str">
        <f t="shared" si="0"/>
        <v>Count</v>
      </c>
      <c r="S16" s="90">
        <f t="shared" si="0"/>
        <v>3.3979999999999996E-2</v>
      </c>
      <c r="T16" s="5" t="str">
        <f>R16</f>
        <v>Count</v>
      </c>
      <c r="U16" s="5">
        <f>Q16*S16</f>
        <v>3.3979999999999996E-2</v>
      </c>
    </row>
    <row r="17" spans="2:21" x14ac:dyDescent="0.35">
      <c r="I17" s="7" t="s">
        <v>294</v>
      </c>
      <c r="J17" s="7">
        <v>2</v>
      </c>
      <c r="K17" s="7" t="s">
        <v>292</v>
      </c>
      <c r="L17" s="5">
        <f>Recipes!U5</f>
        <v>9.8290489274490828E-2</v>
      </c>
      <c r="M17" s="5" t="str">
        <f>K17</f>
        <v>Count</v>
      </c>
      <c r="N17" s="5">
        <f>J17*L17</f>
        <v>0.19658097854898166</v>
      </c>
      <c r="P17" s="7" t="s">
        <v>294</v>
      </c>
      <c r="Q17" s="7">
        <f t="shared" si="5"/>
        <v>2</v>
      </c>
      <c r="R17" s="7" t="str">
        <f t="shared" si="0"/>
        <v>Count</v>
      </c>
      <c r="S17" s="90">
        <f t="shared" si="0"/>
        <v>9.8290489274490828E-2</v>
      </c>
      <c r="T17" s="5" t="str">
        <f>R17</f>
        <v>Count</v>
      </c>
      <c r="U17" s="5">
        <f>Q17*S17</f>
        <v>0.19658097854898166</v>
      </c>
    </row>
    <row r="18" spans="2:21" x14ac:dyDescent="0.35">
      <c r="P18" s="7" t="s">
        <v>153</v>
      </c>
      <c r="Q18" s="7">
        <v>5</v>
      </c>
      <c r="R18" s="7" t="s">
        <v>17</v>
      </c>
      <c r="S18" s="90">
        <f>Recipes!U16</f>
        <v>0.13376715555651317</v>
      </c>
      <c r="T18" s="5" t="str">
        <f>R18</f>
        <v>Oz</v>
      </c>
      <c r="U18" s="5">
        <f>Q18*S18</f>
        <v>0.66883577778256587</v>
      </c>
    </row>
    <row r="19" spans="2:21" ht="15.5" x14ac:dyDescent="0.35">
      <c r="B19" s="119" t="s">
        <v>323</v>
      </c>
      <c r="C19" s="120"/>
      <c r="D19" s="121"/>
      <c r="E19" s="122" t="s">
        <v>7</v>
      </c>
      <c r="F19" s="123"/>
      <c r="G19" s="30">
        <f>SUM(G23:G33)</f>
        <v>3.504805358748031</v>
      </c>
      <c r="I19" s="119" t="s">
        <v>374</v>
      </c>
      <c r="J19" s="120"/>
      <c r="K19" s="121"/>
      <c r="L19" s="122" t="s">
        <v>7</v>
      </c>
      <c r="M19" s="123"/>
      <c r="N19" s="30">
        <f>SUM(N23:N34)</f>
        <v>3.480938171248031</v>
      </c>
    </row>
    <row r="20" spans="2:21" ht="15.5" x14ac:dyDescent="0.35">
      <c r="B20" s="9"/>
      <c r="G20" s="8"/>
      <c r="I20" s="9"/>
      <c r="N20" s="8"/>
      <c r="P20" s="119" t="s">
        <v>326</v>
      </c>
      <c r="Q20" s="120"/>
      <c r="R20" s="121"/>
      <c r="S20" s="122" t="s">
        <v>7</v>
      </c>
      <c r="T20" s="123"/>
      <c r="U20" s="30">
        <f>SUM(U24:U34)</f>
        <v>4.7716262247467132</v>
      </c>
    </row>
    <row r="21" spans="2:21" x14ac:dyDescent="0.35">
      <c r="B21" s="10"/>
      <c r="C21" s="124" t="s">
        <v>13</v>
      </c>
      <c r="D21" s="125"/>
      <c r="E21" s="124" t="s">
        <v>14</v>
      </c>
      <c r="F21" s="125"/>
      <c r="G21" s="5" t="s">
        <v>6</v>
      </c>
      <c r="I21" s="10"/>
      <c r="J21" s="124" t="s">
        <v>13</v>
      </c>
      <c r="K21" s="125"/>
      <c r="L21" s="124" t="s">
        <v>14</v>
      </c>
      <c r="M21" s="125"/>
      <c r="N21" s="5" t="s">
        <v>6</v>
      </c>
      <c r="P21" s="9"/>
      <c r="U21" s="8"/>
    </row>
    <row r="22" spans="2:21" x14ac:dyDescent="0.35">
      <c r="B22" s="5" t="s">
        <v>10</v>
      </c>
      <c r="C22" s="5" t="s">
        <v>2</v>
      </c>
      <c r="D22" s="5" t="s">
        <v>1</v>
      </c>
      <c r="E22" s="5" t="s">
        <v>11</v>
      </c>
      <c r="F22" s="5" t="s">
        <v>1</v>
      </c>
      <c r="G22" s="5" t="s">
        <v>15</v>
      </c>
      <c r="I22" s="5" t="s">
        <v>10</v>
      </c>
      <c r="J22" s="5" t="s">
        <v>2</v>
      </c>
      <c r="K22" s="5" t="s">
        <v>1</v>
      </c>
      <c r="L22" s="5" t="s">
        <v>11</v>
      </c>
      <c r="M22" s="5" t="s">
        <v>1</v>
      </c>
      <c r="N22" s="5" t="s">
        <v>15</v>
      </c>
      <c r="P22" s="10"/>
      <c r="Q22" s="124" t="s">
        <v>13</v>
      </c>
      <c r="R22" s="125"/>
      <c r="S22" s="124" t="s">
        <v>14</v>
      </c>
      <c r="T22" s="125"/>
      <c r="U22" s="5" t="s">
        <v>6</v>
      </c>
    </row>
    <row r="23" spans="2:21" x14ac:dyDescent="0.35">
      <c r="B23" s="7" t="s">
        <v>324</v>
      </c>
      <c r="C23" s="7">
        <v>11</v>
      </c>
      <c r="D23" s="7" t="s">
        <v>17</v>
      </c>
      <c r="E23" s="90">
        <f>'Food Prices'!L59</f>
        <v>0.126546875</v>
      </c>
      <c r="F23" s="5" t="str">
        <f>D23</f>
        <v>Oz</v>
      </c>
      <c r="G23" s="5">
        <f>C23*E23</f>
        <v>1.392015625</v>
      </c>
      <c r="I23" s="7" t="s">
        <v>324</v>
      </c>
      <c r="J23" s="7">
        <f>C23</f>
        <v>11</v>
      </c>
      <c r="K23" s="7" t="s">
        <v>17</v>
      </c>
      <c r="L23" s="90">
        <f>E23</f>
        <v>0.126546875</v>
      </c>
      <c r="M23" s="5" t="str">
        <f>K23</f>
        <v>Oz</v>
      </c>
      <c r="N23" s="5">
        <f>J23*L23</f>
        <v>1.392015625</v>
      </c>
      <c r="P23" s="5" t="s">
        <v>10</v>
      </c>
      <c r="Q23" s="5" t="s">
        <v>2</v>
      </c>
      <c r="R23" s="5" t="s">
        <v>1</v>
      </c>
      <c r="S23" s="5" t="s">
        <v>11</v>
      </c>
      <c r="T23" s="5" t="s">
        <v>1</v>
      </c>
      <c r="U23" s="5" t="s">
        <v>15</v>
      </c>
    </row>
    <row r="24" spans="2:21" x14ac:dyDescent="0.35">
      <c r="B24" s="7" t="s">
        <v>232</v>
      </c>
      <c r="C24" s="7">
        <f t="shared" ref="C24:C33" si="9">J8</f>
        <v>6.458333333333333</v>
      </c>
      <c r="D24" s="7" t="str">
        <f t="shared" ref="D24:E24" si="10">K8</f>
        <v>Oz</v>
      </c>
      <c r="E24" s="90">
        <f t="shared" si="10"/>
        <v>7.2727272727272724E-2</v>
      </c>
      <c r="F24" s="5" t="str">
        <f>D24</f>
        <v>Oz</v>
      </c>
      <c r="G24" s="5">
        <f>C24*E24</f>
        <v>0.46969696969696967</v>
      </c>
      <c r="I24" s="7" t="s">
        <v>48</v>
      </c>
      <c r="J24" s="7">
        <v>2</v>
      </c>
      <c r="K24" s="7" t="s">
        <v>17</v>
      </c>
      <c r="L24" s="90">
        <f>'Food Prices'!L95</f>
        <v>0.10251953125</v>
      </c>
      <c r="M24" s="5" t="str">
        <f>K24</f>
        <v>Oz</v>
      </c>
      <c r="N24" s="5">
        <f>J24*L24</f>
        <v>0.20503906250000001</v>
      </c>
      <c r="P24" s="7" t="s">
        <v>232</v>
      </c>
      <c r="Q24" s="7">
        <f>J8</f>
        <v>6.458333333333333</v>
      </c>
      <c r="R24" s="7" t="s">
        <v>17</v>
      </c>
      <c r="S24" s="90">
        <f>L8</f>
        <v>7.2727272727272724E-2</v>
      </c>
      <c r="T24" s="5" t="str">
        <f>R24</f>
        <v>Oz</v>
      </c>
      <c r="U24" s="5">
        <f>Q24*S24</f>
        <v>0.46969696969696967</v>
      </c>
    </row>
    <row r="25" spans="2:21" x14ac:dyDescent="0.35">
      <c r="B25" s="7" t="s">
        <v>233</v>
      </c>
      <c r="C25" s="7">
        <f t="shared" si="9"/>
        <v>5.166666666666667</v>
      </c>
      <c r="D25" s="7" t="str">
        <f t="shared" ref="D25:E25" si="11">K9</f>
        <v>Oz</v>
      </c>
      <c r="E25" s="90">
        <f t="shared" si="11"/>
        <v>9.7537878787878798E-2</v>
      </c>
      <c r="F25" s="5" t="str">
        <f t="shared" ref="F25:F29" si="12">D25</f>
        <v>Oz</v>
      </c>
      <c r="G25" s="5">
        <f t="shared" ref="G25:G31" si="13">C25*E25</f>
        <v>0.50394570707070718</v>
      </c>
      <c r="I25" s="7" t="s">
        <v>232</v>
      </c>
      <c r="J25" s="7">
        <f t="shared" ref="J25:J34" si="14">Q8</f>
        <v>6.458333333333333</v>
      </c>
      <c r="K25" s="7" t="str">
        <f t="shared" ref="K25:K34" si="15">R8</f>
        <v>Oz</v>
      </c>
      <c r="L25" s="90">
        <f t="shared" ref="L25:L34" si="16">S8</f>
        <v>7.2727272727272724E-2</v>
      </c>
      <c r="M25" s="5" t="str">
        <f>K25</f>
        <v>Oz</v>
      </c>
      <c r="N25" s="5">
        <f>J25*L25</f>
        <v>0.46969696969696967</v>
      </c>
      <c r="P25" s="7" t="s">
        <v>233</v>
      </c>
      <c r="Q25" s="7">
        <f>J9</f>
        <v>5.166666666666667</v>
      </c>
      <c r="R25" s="7" t="s">
        <v>17</v>
      </c>
      <c r="S25" s="90">
        <f>L9</f>
        <v>9.7537878787878798E-2</v>
      </c>
      <c r="T25" s="5" t="str">
        <f t="shared" ref="T25:T29" si="17">R25</f>
        <v>Oz</v>
      </c>
      <c r="U25" s="5">
        <f t="shared" ref="U25:U31" si="18">Q25*S25</f>
        <v>0.50394570707070718</v>
      </c>
    </row>
    <row r="26" spans="2:21" x14ac:dyDescent="0.35">
      <c r="B26" s="7" t="s">
        <v>92</v>
      </c>
      <c r="C26" s="7">
        <f t="shared" si="9"/>
        <v>2.125</v>
      </c>
      <c r="D26" s="7" t="str">
        <f t="shared" ref="D26:E26" si="19">K10</f>
        <v>Oz</v>
      </c>
      <c r="E26" s="90">
        <f t="shared" si="19"/>
        <v>2.75E-2</v>
      </c>
      <c r="F26" s="5" t="str">
        <f t="shared" si="12"/>
        <v>Oz</v>
      </c>
      <c r="G26" s="5">
        <f t="shared" si="13"/>
        <v>5.8437500000000003E-2</v>
      </c>
      <c r="I26" s="7" t="s">
        <v>233</v>
      </c>
      <c r="J26" s="7">
        <f t="shared" si="14"/>
        <v>5.166666666666667</v>
      </c>
      <c r="K26" s="7" t="str">
        <f t="shared" si="15"/>
        <v>Oz</v>
      </c>
      <c r="L26" s="90">
        <f t="shared" si="16"/>
        <v>9.7537878787878798E-2</v>
      </c>
      <c r="M26" s="5" t="str">
        <f t="shared" ref="M26:M30" si="20">K26</f>
        <v>Oz</v>
      </c>
      <c r="N26" s="5">
        <f t="shared" ref="N26:N32" si="21">J26*L26</f>
        <v>0.50394570707070718</v>
      </c>
      <c r="P26" s="7" t="s">
        <v>288</v>
      </c>
      <c r="Q26" s="7">
        <f>J11</f>
        <v>3.625</v>
      </c>
      <c r="R26" s="7" t="s">
        <v>17</v>
      </c>
      <c r="S26" s="90">
        <f>L11</f>
        <v>0.06</v>
      </c>
      <c r="T26" s="5" t="str">
        <f t="shared" si="17"/>
        <v>Oz</v>
      </c>
      <c r="U26" s="5">
        <f>Q26*S26</f>
        <v>0.2175</v>
      </c>
    </row>
    <row r="27" spans="2:21" x14ac:dyDescent="0.35">
      <c r="B27" s="7" t="s">
        <v>288</v>
      </c>
      <c r="C27" s="7">
        <f t="shared" si="9"/>
        <v>3.625</v>
      </c>
      <c r="D27" s="7" t="str">
        <f t="shared" ref="D27:E27" si="22">K11</f>
        <v>Oz</v>
      </c>
      <c r="E27" s="90">
        <f t="shared" si="22"/>
        <v>0.06</v>
      </c>
      <c r="F27" s="5" t="str">
        <f t="shared" si="12"/>
        <v>Oz</v>
      </c>
      <c r="G27" s="5">
        <f t="shared" si="13"/>
        <v>0.2175</v>
      </c>
      <c r="I27" s="7" t="s">
        <v>92</v>
      </c>
      <c r="J27" s="7">
        <f t="shared" si="14"/>
        <v>2.125</v>
      </c>
      <c r="K27" s="7" t="str">
        <f t="shared" si="15"/>
        <v>Oz</v>
      </c>
      <c r="L27" s="90">
        <f t="shared" si="16"/>
        <v>2.75E-2</v>
      </c>
      <c r="M27" s="5" t="str">
        <f t="shared" si="20"/>
        <v>Oz</v>
      </c>
      <c r="N27" s="5">
        <f t="shared" si="21"/>
        <v>5.8437500000000003E-2</v>
      </c>
      <c r="P27" s="7" t="s">
        <v>146</v>
      </c>
      <c r="Q27" s="7">
        <v>1</v>
      </c>
      <c r="R27" s="7" t="s">
        <v>17</v>
      </c>
      <c r="S27" s="90">
        <f>'Food Prices'!L89</f>
        <v>8.7187500000000001E-2</v>
      </c>
      <c r="T27" s="5" t="str">
        <f t="shared" si="17"/>
        <v>Oz</v>
      </c>
      <c r="U27" s="5">
        <f>Q27*S27</f>
        <v>8.7187500000000001E-2</v>
      </c>
    </row>
    <row r="28" spans="2:21" x14ac:dyDescent="0.35">
      <c r="B28" s="7" t="s">
        <v>234</v>
      </c>
      <c r="C28" s="7">
        <f t="shared" si="9"/>
        <v>2.5</v>
      </c>
      <c r="D28" s="7" t="str">
        <f t="shared" ref="D28:E28" si="23">K12</f>
        <v>Oz</v>
      </c>
      <c r="E28" s="90">
        <f t="shared" si="23"/>
        <v>5.0666666666666665E-2</v>
      </c>
      <c r="F28" s="5" t="str">
        <f t="shared" si="12"/>
        <v>Oz</v>
      </c>
      <c r="G28" s="5">
        <f t="shared" si="13"/>
        <v>0.12666666666666665</v>
      </c>
      <c r="I28" s="7" t="s">
        <v>288</v>
      </c>
      <c r="J28" s="7">
        <f t="shared" si="14"/>
        <v>3.625</v>
      </c>
      <c r="K28" s="7" t="str">
        <f t="shared" si="15"/>
        <v>Oz</v>
      </c>
      <c r="L28" s="90">
        <f t="shared" si="16"/>
        <v>0.06</v>
      </c>
      <c r="M28" s="5" t="str">
        <f t="shared" si="20"/>
        <v>Oz</v>
      </c>
      <c r="N28" s="5">
        <f t="shared" si="21"/>
        <v>0.2175</v>
      </c>
      <c r="P28" s="7" t="s">
        <v>327</v>
      </c>
      <c r="Q28" s="7">
        <v>3.125</v>
      </c>
      <c r="R28" s="7" t="s">
        <v>17</v>
      </c>
      <c r="S28" s="90">
        <f>'Food Prices'!L8</f>
        <v>0.625</v>
      </c>
      <c r="T28" s="5" t="str">
        <f t="shared" si="17"/>
        <v>Oz</v>
      </c>
      <c r="U28" s="5">
        <f t="shared" si="18"/>
        <v>1.953125</v>
      </c>
    </row>
    <row r="29" spans="2:21" x14ac:dyDescent="0.35">
      <c r="B29" s="7" t="s">
        <v>22</v>
      </c>
      <c r="C29" s="7">
        <f t="shared" si="9"/>
        <v>2.5</v>
      </c>
      <c r="D29" s="7" t="str">
        <f t="shared" ref="D29:E29" si="24">K13</f>
        <v>Oz</v>
      </c>
      <c r="E29" s="90">
        <f t="shared" si="24"/>
        <v>0.18312500000000001</v>
      </c>
      <c r="F29" s="5" t="str">
        <f t="shared" si="12"/>
        <v>Oz</v>
      </c>
      <c r="G29" s="5">
        <f t="shared" si="13"/>
        <v>0.45781250000000001</v>
      </c>
      <c r="I29" s="7" t="s">
        <v>234</v>
      </c>
      <c r="J29" s="7">
        <f t="shared" si="14"/>
        <v>2.5</v>
      </c>
      <c r="K29" s="7" t="str">
        <f t="shared" si="15"/>
        <v>Oz</v>
      </c>
      <c r="L29" s="90">
        <f t="shared" si="16"/>
        <v>5.0666666666666665E-2</v>
      </c>
      <c r="M29" s="5" t="str">
        <f t="shared" si="20"/>
        <v>Oz</v>
      </c>
      <c r="N29" s="5">
        <f t="shared" si="21"/>
        <v>0.12666666666666665</v>
      </c>
      <c r="P29" s="7" t="s">
        <v>148</v>
      </c>
      <c r="Q29" s="7">
        <v>4.375</v>
      </c>
      <c r="R29" s="7" t="s">
        <v>17</v>
      </c>
      <c r="S29" s="90">
        <f>'Food Prices'!L21</f>
        <v>0.21484375</v>
      </c>
      <c r="T29" s="5" t="str">
        <f t="shared" si="17"/>
        <v>Oz</v>
      </c>
      <c r="U29" s="5">
        <f t="shared" si="18"/>
        <v>0.93994140625</v>
      </c>
    </row>
    <row r="30" spans="2:21" x14ac:dyDescent="0.35">
      <c r="B30" s="7" t="s">
        <v>289</v>
      </c>
      <c r="C30" s="7">
        <f t="shared" si="9"/>
        <v>1</v>
      </c>
      <c r="D30" s="7" t="str">
        <f t="shared" ref="D30:E30" si="25">K14</f>
        <v>Count</v>
      </c>
      <c r="E30" s="90">
        <f t="shared" si="25"/>
        <v>1.1929411764705883E-2</v>
      </c>
      <c r="F30" s="88" t="str">
        <f>D30</f>
        <v>Count</v>
      </c>
      <c r="G30" s="5">
        <f t="shared" si="13"/>
        <v>1.1929411764705883E-2</v>
      </c>
      <c r="I30" s="7" t="s">
        <v>22</v>
      </c>
      <c r="J30" s="7">
        <f t="shared" si="14"/>
        <v>1.25</v>
      </c>
      <c r="K30" s="7" t="str">
        <f t="shared" si="15"/>
        <v>Oz</v>
      </c>
      <c r="L30" s="90">
        <f t="shared" si="16"/>
        <v>0.18312500000000001</v>
      </c>
      <c r="M30" s="5" t="str">
        <f t="shared" si="20"/>
        <v>Oz</v>
      </c>
      <c r="N30" s="5">
        <f t="shared" si="21"/>
        <v>0.22890625000000001</v>
      </c>
      <c r="P30" s="7" t="s">
        <v>289</v>
      </c>
      <c r="Q30" s="7">
        <f>Q14</f>
        <v>1</v>
      </c>
      <c r="R30" s="7" t="s">
        <v>292</v>
      </c>
      <c r="S30" s="90">
        <f>L14</f>
        <v>1.1929411764705883E-2</v>
      </c>
      <c r="T30" s="88" t="str">
        <f>R30</f>
        <v>Count</v>
      </c>
      <c r="U30" s="5">
        <f t="shared" si="18"/>
        <v>1.1929411764705883E-2</v>
      </c>
    </row>
    <row r="31" spans="2:21" x14ac:dyDescent="0.35">
      <c r="B31" s="7" t="s">
        <v>290</v>
      </c>
      <c r="C31" s="7">
        <f t="shared" si="9"/>
        <v>1</v>
      </c>
      <c r="D31" s="7" t="str">
        <f t="shared" ref="D31:E31" si="26">K15</f>
        <v>Count</v>
      </c>
      <c r="E31" s="90">
        <f t="shared" si="26"/>
        <v>3.6240000000000001E-2</v>
      </c>
      <c r="F31" s="5" t="str">
        <f>D31</f>
        <v>Count</v>
      </c>
      <c r="G31" s="5">
        <f t="shared" si="13"/>
        <v>3.6240000000000001E-2</v>
      </c>
      <c r="I31" s="7" t="s">
        <v>289</v>
      </c>
      <c r="J31" s="7">
        <f t="shared" si="14"/>
        <v>1</v>
      </c>
      <c r="K31" s="7" t="str">
        <f t="shared" si="15"/>
        <v>Count</v>
      </c>
      <c r="L31" s="90">
        <f t="shared" si="16"/>
        <v>1.1929411764705883E-2</v>
      </c>
      <c r="M31" s="88" t="str">
        <f>K31</f>
        <v>Count</v>
      </c>
      <c r="N31" s="5">
        <f t="shared" si="21"/>
        <v>1.1929411764705883E-2</v>
      </c>
      <c r="P31" s="7" t="s">
        <v>290</v>
      </c>
      <c r="Q31" s="7">
        <f t="shared" ref="Q31:Q33" si="27">Q15</f>
        <v>1</v>
      </c>
      <c r="R31" s="7" t="s">
        <v>292</v>
      </c>
      <c r="S31" s="90">
        <f>L15</f>
        <v>3.6240000000000001E-2</v>
      </c>
      <c r="T31" s="5" t="str">
        <f>R31</f>
        <v>Count</v>
      </c>
      <c r="U31" s="5">
        <f t="shared" si="18"/>
        <v>3.6240000000000001E-2</v>
      </c>
    </row>
    <row r="32" spans="2:21" x14ac:dyDescent="0.35">
      <c r="B32" s="7" t="s">
        <v>291</v>
      </c>
      <c r="C32" s="7">
        <f t="shared" si="9"/>
        <v>1</v>
      </c>
      <c r="D32" s="7" t="str">
        <f t="shared" ref="D32:E32" si="28">K16</f>
        <v>Count</v>
      </c>
      <c r="E32" s="90">
        <f t="shared" si="28"/>
        <v>3.3979999999999996E-2</v>
      </c>
      <c r="F32" s="5" t="str">
        <f>D32</f>
        <v>Count</v>
      </c>
      <c r="G32" s="5">
        <f>C32*E32</f>
        <v>3.3979999999999996E-2</v>
      </c>
      <c r="I32" s="7" t="s">
        <v>290</v>
      </c>
      <c r="J32" s="7">
        <f t="shared" si="14"/>
        <v>1</v>
      </c>
      <c r="K32" s="7" t="str">
        <f t="shared" si="15"/>
        <v>Count</v>
      </c>
      <c r="L32" s="90">
        <f t="shared" si="16"/>
        <v>3.6240000000000001E-2</v>
      </c>
      <c r="M32" s="5" t="str">
        <f>K32</f>
        <v>Count</v>
      </c>
      <c r="N32" s="5">
        <f t="shared" si="21"/>
        <v>3.6240000000000001E-2</v>
      </c>
      <c r="P32" s="7" t="s">
        <v>291</v>
      </c>
      <c r="Q32" s="7">
        <f t="shared" si="27"/>
        <v>1</v>
      </c>
      <c r="R32" s="7" t="s">
        <v>292</v>
      </c>
      <c r="S32" s="90">
        <f>L16</f>
        <v>3.3979999999999996E-2</v>
      </c>
      <c r="T32" s="5" t="str">
        <f>R32</f>
        <v>Count</v>
      </c>
      <c r="U32" s="5">
        <f>Q32*S32</f>
        <v>3.3979999999999996E-2</v>
      </c>
    </row>
    <row r="33" spans="2:21" x14ac:dyDescent="0.35">
      <c r="B33" s="7" t="s">
        <v>294</v>
      </c>
      <c r="C33" s="7">
        <f t="shared" si="9"/>
        <v>2</v>
      </c>
      <c r="D33" s="7" t="str">
        <f t="shared" ref="D33:E33" si="29">K17</f>
        <v>Count</v>
      </c>
      <c r="E33" s="90">
        <f t="shared" si="29"/>
        <v>9.8290489274490828E-2</v>
      </c>
      <c r="F33" s="5" t="str">
        <f>D33</f>
        <v>Count</v>
      </c>
      <c r="G33" s="5">
        <f>C33*E33</f>
        <v>0.19658097854898166</v>
      </c>
      <c r="I33" s="7" t="s">
        <v>291</v>
      </c>
      <c r="J33" s="7">
        <f t="shared" si="14"/>
        <v>1</v>
      </c>
      <c r="K33" s="7" t="str">
        <f t="shared" si="15"/>
        <v>Count</v>
      </c>
      <c r="L33" s="90">
        <f t="shared" si="16"/>
        <v>3.3979999999999996E-2</v>
      </c>
      <c r="M33" s="5" t="str">
        <f>K33</f>
        <v>Count</v>
      </c>
      <c r="N33" s="5">
        <f>J33*L33</f>
        <v>3.3979999999999996E-2</v>
      </c>
      <c r="P33" s="7" t="s">
        <v>294</v>
      </c>
      <c r="Q33" s="7">
        <f t="shared" si="27"/>
        <v>2</v>
      </c>
      <c r="R33" s="7" t="s">
        <v>292</v>
      </c>
      <c r="S33" s="90">
        <f>L17</f>
        <v>9.8290489274490828E-2</v>
      </c>
      <c r="T33" s="5" t="str">
        <f>R33</f>
        <v>Count</v>
      </c>
      <c r="U33" s="5">
        <f>Q33*S33</f>
        <v>0.19658097854898166</v>
      </c>
    </row>
    <row r="34" spans="2:21" x14ac:dyDescent="0.35">
      <c r="I34" s="7" t="s">
        <v>294</v>
      </c>
      <c r="J34" s="7">
        <f t="shared" si="14"/>
        <v>2</v>
      </c>
      <c r="K34" s="7" t="str">
        <f t="shared" si="15"/>
        <v>Count</v>
      </c>
      <c r="L34" s="90">
        <f t="shared" si="16"/>
        <v>9.8290489274490828E-2</v>
      </c>
      <c r="M34" s="5" t="str">
        <f>K34</f>
        <v>Count</v>
      </c>
      <c r="N34" s="5">
        <f>J34*L34</f>
        <v>0.19658097854898166</v>
      </c>
      <c r="P34" s="7" t="s">
        <v>149</v>
      </c>
      <c r="Q34" s="7">
        <v>1</v>
      </c>
      <c r="R34" s="7" t="s">
        <v>103</v>
      </c>
      <c r="S34" s="90">
        <f>Sides!N11</f>
        <v>0.32149925141534941</v>
      </c>
      <c r="T34" s="5" t="str">
        <f>R34</f>
        <v>4-oz side</v>
      </c>
      <c r="U34" s="5">
        <f>Q34*S34</f>
        <v>0.32149925141534941</v>
      </c>
    </row>
    <row r="35" spans="2:21" ht="15.5" x14ac:dyDescent="0.35">
      <c r="B35" s="119" t="s">
        <v>329</v>
      </c>
      <c r="C35" s="120"/>
      <c r="D35" s="121"/>
      <c r="E35" s="122" t="s">
        <v>7</v>
      </c>
      <c r="F35" s="123"/>
      <c r="G35" s="30">
        <f>SUM(G39:G50)</f>
        <v>3.2501664824632606</v>
      </c>
    </row>
    <row r="36" spans="2:21" ht="15.5" x14ac:dyDescent="0.35">
      <c r="B36" s="9"/>
      <c r="G36" s="8"/>
      <c r="P36" s="119" t="s">
        <v>333</v>
      </c>
      <c r="Q36" s="120"/>
      <c r="R36" s="121"/>
      <c r="S36" s="122" t="s">
        <v>7</v>
      </c>
      <c r="T36" s="123"/>
      <c r="U36" s="30">
        <f>SUM(U40:U51)</f>
        <v>6.163641849746714</v>
      </c>
    </row>
    <row r="37" spans="2:21" ht="15.5" x14ac:dyDescent="0.35">
      <c r="B37" s="10"/>
      <c r="C37" s="124" t="s">
        <v>13</v>
      </c>
      <c r="D37" s="125"/>
      <c r="E37" s="124" t="s">
        <v>14</v>
      </c>
      <c r="F37" s="125"/>
      <c r="G37" s="5" t="s">
        <v>6</v>
      </c>
      <c r="I37" s="119" t="s">
        <v>330</v>
      </c>
      <c r="J37" s="120"/>
      <c r="K37" s="121"/>
      <c r="L37" s="122" t="s">
        <v>7</v>
      </c>
      <c r="M37" s="123"/>
      <c r="N37" s="30">
        <f>SUM(N41:N51)</f>
        <v>3.1398209837480309</v>
      </c>
      <c r="P37" s="9"/>
      <c r="U37" s="8"/>
    </row>
    <row r="38" spans="2:21" x14ac:dyDescent="0.35">
      <c r="B38" s="5" t="s">
        <v>10</v>
      </c>
      <c r="C38" s="5" t="s">
        <v>2</v>
      </c>
      <c r="D38" s="5" t="s">
        <v>1</v>
      </c>
      <c r="E38" s="5" t="s">
        <v>11</v>
      </c>
      <c r="F38" s="5" t="s">
        <v>1</v>
      </c>
      <c r="G38" s="5" t="s">
        <v>15</v>
      </c>
      <c r="I38" s="9"/>
      <c r="N38" s="8"/>
      <c r="P38" s="10"/>
      <c r="Q38" s="124" t="s">
        <v>13</v>
      </c>
      <c r="R38" s="125"/>
      <c r="S38" s="124" t="s">
        <v>14</v>
      </c>
      <c r="T38" s="125"/>
      <c r="U38" s="5" t="s">
        <v>6</v>
      </c>
    </row>
    <row r="39" spans="2:21" x14ac:dyDescent="0.35">
      <c r="B39" s="7" t="s">
        <v>88</v>
      </c>
      <c r="C39" s="7">
        <v>3</v>
      </c>
      <c r="D39" s="7" t="s">
        <v>128</v>
      </c>
      <c r="E39" s="5">
        <f>'Food Prices'!P64</f>
        <v>0.23137019230769232</v>
      </c>
      <c r="F39" s="5" t="str">
        <f t="shared" ref="F39:F50" si="30">D39</f>
        <v>Slice</v>
      </c>
      <c r="G39" s="5">
        <f t="shared" ref="G39:G40" si="31">C39*E39</f>
        <v>0.69411057692307698</v>
      </c>
      <c r="I39" s="10"/>
      <c r="J39" s="124" t="s">
        <v>13</v>
      </c>
      <c r="K39" s="125"/>
      <c r="L39" s="124" t="s">
        <v>14</v>
      </c>
      <c r="M39" s="125"/>
      <c r="N39" s="5" t="s">
        <v>6</v>
      </c>
      <c r="P39" s="5" t="s">
        <v>10</v>
      </c>
      <c r="Q39" s="5" t="s">
        <v>2</v>
      </c>
      <c r="R39" s="5" t="s">
        <v>1</v>
      </c>
      <c r="S39" s="5" t="s">
        <v>11</v>
      </c>
      <c r="T39" s="5" t="s">
        <v>1</v>
      </c>
      <c r="U39" s="5" t="s">
        <v>15</v>
      </c>
    </row>
    <row r="40" spans="2:21" x14ac:dyDescent="0.35">
      <c r="B40" s="7" t="s">
        <v>94</v>
      </c>
      <c r="C40" s="7">
        <v>4</v>
      </c>
      <c r="D40" s="7" t="s">
        <v>128</v>
      </c>
      <c r="E40" s="90">
        <f>'Food Prices'!P66</f>
        <v>0.11081654294803818</v>
      </c>
      <c r="F40" s="5" t="str">
        <f t="shared" si="30"/>
        <v>Slice</v>
      </c>
      <c r="G40" s="5">
        <f t="shared" si="31"/>
        <v>0.44326617179215272</v>
      </c>
      <c r="I40" s="5" t="s">
        <v>10</v>
      </c>
      <c r="J40" s="5" t="s">
        <v>2</v>
      </c>
      <c r="K40" s="5" t="s">
        <v>1</v>
      </c>
      <c r="L40" s="5" t="s">
        <v>11</v>
      </c>
      <c r="M40" s="5" t="s">
        <v>1</v>
      </c>
      <c r="N40" s="5" t="s">
        <v>15</v>
      </c>
      <c r="P40" s="7" t="s">
        <v>324</v>
      </c>
      <c r="Q40" s="7">
        <f>C23</f>
        <v>11</v>
      </c>
      <c r="R40" s="7" t="s">
        <v>17</v>
      </c>
      <c r="S40" s="90">
        <f>E23</f>
        <v>0.126546875</v>
      </c>
      <c r="T40" s="5" t="str">
        <f>R40</f>
        <v>Oz</v>
      </c>
      <c r="U40" s="5">
        <f>Q40*S40</f>
        <v>1.392015625</v>
      </c>
    </row>
    <row r="41" spans="2:21" x14ac:dyDescent="0.35">
      <c r="B41" s="7" t="s">
        <v>232</v>
      </c>
      <c r="C41" s="7">
        <f>C24</f>
        <v>6.458333333333333</v>
      </c>
      <c r="D41" s="7" t="str">
        <f t="shared" ref="D41:E41" si="32">D24</f>
        <v>Oz</v>
      </c>
      <c r="E41" s="90">
        <f t="shared" si="32"/>
        <v>7.2727272727272724E-2</v>
      </c>
      <c r="F41" s="5" t="str">
        <f t="shared" si="30"/>
        <v>Oz</v>
      </c>
      <c r="G41" s="5">
        <f>C41*E41</f>
        <v>0.46969696969696967</v>
      </c>
      <c r="I41" s="7" t="s">
        <v>235</v>
      </c>
      <c r="J41" s="7">
        <v>6</v>
      </c>
      <c r="K41" s="7" t="s">
        <v>128</v>
      </c>
      <c r="L41" s="90">
        <f>'Food Prices'!P71</f>
        <v>0.171171875</v>
      </c>
      <c r="M41" s="5" t="str">
        <f t="shared" ref="M41:M51" si="33">K41</f>
        <v>Slice</v>
      </c>
      <c r="N41" s="5">
        <f t="shared" ref="N41" si="34">J41*L41</f>
        <v>1.0270312500000001</v>
      </c>
      <c r="P41" s="7" t="s">
        <v>232</v>
      </c>
      <c r="Q41" s="7">
        <f>Q24</f>
        <v>6.458333333333333</v>
      </c>
      <c r="R41" s="7" t="str">
        <f t="shared" ref="R41:S41" si="35">R24</f>
        <v>Oz</v>
      </c>
      <c r="S41" s="90">
        <f t="shared" si="35"/>
        <v>7.2727272727272724E-2</v>
      </c>
      <c r="T41" s="5" t="str">
        <f>R41</f>
        <v>Oz</v>
      </c>
      <c r="U41" s="5">
        <f>Q41*S41</f>
        <v>0.46969696969696967</v>
      </c>
    </row>
    <row r="42" spans="2:21" x14ac:dyDescent="0.35">
      <c r="B42" s="7" t="s">
        <v>233</v>
      </c>
      <c r="C42" s="7">
        <f t="shared" ref="C42:E42" si="36">C25</f>
        <v>5.166666666666667</v>
      </c>
      <c r="D42" s="7" t="str">
        <f t="shared" si="36"/>
        <v>Oz</v>
      </c>
      <c r="E42" s="90">
        <f t="shared" si="36"/>
        <v>9.7537878787878798E-2</v>
      </c>
      <c r="F42" s="5" t="str">
        <f t="shared" si="30"/>
        <v>Oz</v>
      </c>
      <c r="G42" s="5">
        <f t="shared" ref="G42:G48" si="37">C42*E42</f>
        <v>0.50394570707070718</v>
      </c>
      <c r="I42" s="7" t="s">
        <v>232</v>
      </c>
      <c r="J42" s="7">
        <f t="shared" ref="J42:J51" si="38">C58</f>
        <v>6.458333333333333</v>
      </c>
      <c r="K42" s="7" t="str">
        <f t="shared" ref="K42:K51" si="39">D58</f>
        <v>Oz</v>
      </c>
      <c r="L42" s="90">
        <f t="shared" ref="L42:L51" si="40">E58</f>
        <v>7.2727272727272724E-2</v>
      </c>
      <c r="M42" s="5" t="str">
        <f t="shared" si="33"/>
        <v>Oz</v>
      </c>
      <c r="N42" s="5">
        <f>J42*L42</f>
        <v>0.46969696969696967</v>
      </c>
      <c r="P42" s="7" t="s">
        <v>233</v>
      </c>
      <c r="Q42" s="7">
        <f t="shared" ref="Q42:S42" si="41">Q25</f>
        <v>5.166666666666667</v>
      </c>
      <c r="R42" s="7" t="str">
        <f t="shared" si="41"/>
        <v>Oz</v>
      </c>
      <c r="S42" s="90">
        <f t="shared" si="41"/>
        <v>9.7537878787878798E-2</v>
      </c>
      <c r="T42" s="5" t="str">
        <f t="shared" ref="T42:T46" si="42">R42</f>
        <v>Oz</v>
      </c>
      <c r="U42" s="5">
        <f t="shared" ref="U42" si="43">Q42*S42</f>
        <v>0.50394570707070718</v>
      </c>
    </row>
    <row r="43" spans="2:21" x14ac:dyDescent="0.35">
      <c r="B43" s="7" t="s">
        <v>92</v>
      </c>
      <c r="C43" s="7">
        <f t="shared" ref="C43:E43" si="44">C26</f>
        <v>2.125</v>
      </c>
      <c r="D43" s="7" t="str">
        <f t="shared" si="44"/>
        <v>Oz</v>
      </c>
      <c r="E43" s="90">
        <f t="shared" si="44"/>
        <v>2.75E-2</v>
      </c>
      <c r="F43" s="5" t="str">
        <f t="shared" si="30"/>
        <v>Oz</v>
      </c>
      <c r="G43" s="5">
        <f t="shared" si="37"/>
        <v>5.8437500000000003E-2</v>
      </c>
      <c r="I43" s="7" t="s">
        <v>233</v>
      </c>
      <c r="J43" s="7">
        <f t="shared" si="38"/>
        <v>5.166666666666667</v>
      </c>
      <c r="K43" s="7" t="str">
        <f t="shared" si="39"/>
        <v>Oz</v>
      </c>
      <c r="L43" s="90">
        <f t="shared" si="40"/>
        <v>9.7537878787878798E-2</v>
      </c>
      <c r="M43" s="5" t="str">
        <f t="shared" si="33"/>
        <v>Oz</v>
      </c>
      <c r="N43" s="5">
        <f t="shared" ref="N43:N49" si="45">J43*L43</f>
        <v>0.50394570707070718</v>
      </c>
      <c r="P43" s="7" t="s">
        <v>288</v>
      </c>
      <c r="Q43" s="7">
        <f t="shared" ref="Q43:S43" si="46">Q26</f>
        <v>3.625</v>
      </c>
      <c r="R43" s="7" t="str">
        <f t="shared" si="46"/>
        <v>Oz</v>
      </c>
      <c r="S43" s="90">
        <f t="shared" si="46"/>
        <v>0.06</v>
      </c>
      <c r="T43" s="5" t="str">
        <f t="shared" si="42"/>
        <v>Oz</v>
      </c>
      <c r="U43" s="5">
        <f>Q43*S43</f>
        <v>0.2175</v>
      </c>
    </row>
    <row r="44" spans="2:21" x14ac:dyDescent="0.35">
      <c r="B44" s="7" t="s">
        <v>288</v>
      </c>
      <c r="C44" s="7">
        <f t="shared" ref="C44:E44" si="47">C27</f>
        <v>3.625</v>
      </c>
      <c r="D44" s="7" t="str">
        <f t="shared" si="47"/>
        <v>Oz</v>
      </c>
      <c r="E44" s="90">
        <f t="shared" si="47"/>
        <v>0.06</v>
      </c>
      <c r="F44" s="5" t="str">
        <f t="shared" si="30"/>
        <v>Oz</v>
      </c>
      <c r="G44" s="5">
        <f t="shared" si="37"/>
        <v>0.2175</v>
      </c>
      <c r="I44" s="7" t="s">
        <v>92</v>
      </c>
      <c r="J44" s="7">
        <f t="shared" si="38"/>
        <v>2.125</v>
      </c>
      <c r="K44" s="7" t="str">
        <f t="shared" si="39"/>
        <v>Oz</v>
      </c>
      <c r="L44" s="90">
        <f t="shared" si="40"/>
        <v>2.75E-2</v>
      </c>
      <c r="M44" s="5" t="str">
        <f t="shared" si="33"/>
        <v>Oz</v>
      </c>
      <c r="N44" s="5">
        <f t="shared" si="45"/>
        <v>5.8437500000000003E-2</v>
      </c>
      <c r="P44" s="7" t="s">
        <v>146</v>
      </c>
      <c r="Q44" s="7">
        <f t="shared" ref="Q44:S44" si="48">Q27</f>
        <v>1</v>
      </c>
      <c r="R44" s="7" t="str">
        <f t="shared" si="48"/>
        <v>Oz</v>
      </c>
      <c r="S44" s="90">
        <f t="shared" si="48"/>
        <v>8.7187500000000001E-2</v>
      </c>
      <c r="T44" s="5" t="str">
        <f t="shared" si="42"/>
        <v>Oz</v>
      </c>
      <c r="U44" s="5">
        <f>Q44*S44</f>
        <v>8.7187500000000001E-2</v>
      </c>
    </row>
    <row r="45" spans="2:21" x14ac:dyDescent="0.35">
      <c r="B45" s="7" t="s">
        <v>234</v>
      </c>
      <c r="C45" s="7">
        <f t="shared" ref="C45:E45" si="49">C28</f>
        <v>2.5</v>
      </c>
      <c r="D45" s="7" t="str">
        <f t="shared" si="49"/>
        <v>Oz</v>
      </c>
      <c r="E45" s="90">
        <f t="shared" si="49"/>
        <v>5.0666666666666665E-2</v>
      </c>
      <c r="F45" s="5" t="str">
        <f t="shared" si="30"/>
        <v>Oz</v>
      </c>
      <c r="G45" s="5">
        <f t="shared" si="37"/>
        <v>0.12666666666666665</v>
      </c>
      <c r="I45" s="7" t="s">
        <v>288</v>
      </c>
      <c r="J45" s="7">
        <f t="shared" si="38"/>
        <v>3.625</v>
      </c>
      <c r="K45" s="7" t="str">
        <f t="shared" si="39"/>
        <v>Oz</v>
      </c>
      <c r="L45" s="90">
        <f t="shared" si="40"/>
        <v>0.06</v>
      </c>
      <c r="M45" s="5" t="str">
        <f t="shared" si="33"/>
        <v>Oz</v>
      </c>
      <c r="N45" s="5">
        <f t="shared" si="45"/>
        <v>0.2175</v>
      </c>
      <c r="P45" s="7" t="s">
        <v>327</v>
      </c>
      <c r="Q45" s="7">
        <f t="shared" ref="Q45:S45" si="50">Q28</f>
        <v>3.125</v>
      </c>
      <c r="R45" s="7" t="str">
        <f t="shared" si="50"/>
        <v>Oz</v>
      </c>
      <c r="S45" s="90">
        <f t="shared" si="50"/>
        <v>0.625</v>
      </c>
      <c r="T45" s="5" t="str">
        <f t="shared" si="42"/>
        <v>Oz</v>
      </c>
      <c r="U45" s="5">
        <f t="shared" ref="U45:U48" si="51">Q45*S45</f>
        <v>1.953125</v>
      </c>
    </row>
    <row r="46" spans="2:21" x14ac:dyDescent="0.35">
      <c r="B46" s="7" t="s">
        <v>22</v>
      </c>
      <c r="C46" s="7">
        <f t="shared" ref="C46:E46" si="52">C29</f>
        <v>2.5</v>
      </c>
      <c r="D46" s="7" t="str">
        <f t="shared" si="52"/>
        <v>Oz</v>
      </c>
      <c r="E46" s="90">
        <f t="shared" si="52"/>
        <v>0.18312500000000001</v>
      </c>
      <c r="F46" s="5" t="str">
        <f t="shared" si="30"/>
        <v>Oz</v>
      </c>
      <c r="G46" s="5">
        <f t="shared" si="37"/>
        <v>0.45781250000000001</v>
      </c>
      <c r="I46" s="7" t="s">
        <v>234</v>
      </c>
      <c r="J46" s="7">
        <f t="shared" si="38"/>
        <v>2.5</v>
      </c>
      <c r="K46" s="7" t="str">
        <f t="shared" si="39"/>
        <v>Oz</v>
      </c>
      <c r="L46" s="90">
        <f t="shared" si="40"/>
        <v>5.0666666666666665E-2</v>
      </c>
      <c r="M46" s="5" t="str">
        <f t="shared" si="33"/>
        <v>Oz</v>
      </c>
      <c r="N46" s="5">
        <f t="shared" si="45"/>
        <v>0.12666666666666665</v>
      </c>
      <c r="P46" s="7" t="s">
        <v>148</v>
      </c>
      <c r="Q46" s="7">
        <f t="shared" ref="Q46:S46" si="53">Q29</f>
        <v>4.375</v>
      </c>
      <c r="R46" s="7" t="str">
        <f t="shared" si="53"/>
        <v>Oz</v>
      </c>
      <c r="S46" s="90">
        <f t="shared" si="53"/>
        <v>0.21484375</v>
      </c>
      <c r="T46" s="5" t="str">
        <f t="shared" si="42"/>
        <v>Oz</v>
      </c>
      <c r="U46" s="5">
        <f t="shared" si="51"/>
        <v>0.93994140625</v>
      </c>
    </row>
    <row r="47" spans="2:21" x14ac:dyDescent="0.35">
      <c r="B47" s="7" t="s">
        <v>289</v>
      </c>
      <c r="C47" s="7">
        <f t="shared" ref="C47:E47" si="54">C30</f>
        <v>1</v>
      </c>
      <c r="D47" s="7" t="str">
        <f t="shared" si="54"/>
        <v>Count</v>
      </c>
      <c r="E47" s="90">
        <f t="shared" si="54"/>
        <v>1.1929411764705883E-2</v>
      </c>
      <c r="F47" s="5" t="str">
        <f t="shared" si="30"/>
        <v>Count</v>
      </c>
      <c r="G47" s="5">
        <f t="shared" si="37"/>
        <v>1.1929411764705883E-2</v>
      </c>
      <c r="I47" s="7" t="s">
        <v>22</v>
      </c>
      <c r="J47" s="7">
        <f t="shared" si="38"/>
        <v>2.5</v>
      </c>
      <c r="K47" s="7" t="str">
        <f t="shared" si="39"/>
        <v>Oz</v>
      </c>
      <c r="L47" s="90">
        <f t="shared" si="40"/>
        <v>0.18312500000000001</v>
      </c>
      <c r="M47" s="5" t="str">
        <f t="shared" si="33"/>
        <v>Oz</v>
      </c>
      <c r="N47" s="5">
        <f t="shared" si="45"/>
        <v>0.45781250000000001</v>
      </c>
      <c r="P47" s="7" t="s">
        <v>289</v>
      </c>
      <c r="Q47" s="7">
        <f t="shared" ref="Q47:S47" si="55">Q30</f>
        <v>1</v>
      </c>
      <c r="R47" s="7" t="str">
        <f t="shared" si="55"/>
        <v>Count</v>
      </c>
      <c r="S47" s="90">
        <f t="shared" si="55"/>
        <v>1.1929411764705883E-2</v>
      </c>
      <c r="T47" s="88" t="str">
        <f>R47</f>
        <v>Count</v>
      </c>
      <c r="U47" s="5">
        <f t="shared" si="51"/>
        <v>1.1929411764705883E-2</v>
      </c>
    </row>
    <row r="48" spans="2:21" x14ac:dyDescent="0.35">
      <c r="B48" s="7" t="s">
        <v>290</v>
      </c>
      <c r="C48" s="7">
        <f t="shared" ref="C48:E48" si="56">C31</f>
        <v>1</v>
      </c>
      <c r="D48" s="7" t="str">
        <f t="shared" si="56"/>
        <v>Count</v>
      </c>
      <c r="E48" s="90">
        <f t="shared" si="56"/>
        <v>3.6240000000000001E-2</v>
      </c>
      <c r="F48" s="5" t="str">
        <f t="shared" si="30"/>
        <v>Count</v>
      </c>
      <c r="G48" s="5">
        <f t="shared" si="37"/>
        <v>3.6240000000000001E-2</v>
      </c>
      <c r="I48" s="7" t="s">
        <v>289</v>
      </c>
      <c r="J48" s="7">
        <f t="shared" si="38"/>
        <v>1</v>
      </c>
      <c r="K48" s="7" t="str">
        <f t="shared" si="39"/>
        <v>Count</v>
      </c>
      <c r="L48" s="90">
        <f t="shared" si="40"/>
        <v>1.1929411764705883E-2</v>
      </c>
      <c r="M48" s="5" t="str">
        <f t="shared" si="33"/>
        <v>Count</v>
      </c>
      <c r="N48" s="5">
        <f t="shared" si="45"/>
        <v>1.1929411764705883E-2</v>
      </c>
      <c r="P48" s="7" t="s">
        <v>290</v>
      </c>
      <c r="Q48" s="7">
        <f t="shared" ref="Q48:S48" si="57">Q31</f>
        <v>1</v>
      </c>
      <c r="R48" s="7" t="str">
        <f t="shared" si="57"/>
        <v>Count</v>
      </c>
      <c r="S48" s="90">
        <f t="shared" si="57"/>
        <v>3.6240000000000001E-2</v>
      </c>
      <c r="T48" s="5" t="str">
        <f>R48</f>
        <v>Count</v>
      </c>
      <c r="U48" s="5">
        <f t="shared" si="51"/>
        <v>3.6240000000000001E-2</v>
      </c>
    </row>
    <row r="49" spans="2:21" x14ac:dyDescent="0.35">
      <c r="B49" s="7" t="s">
        <v>291</v>
      </c>
      <c r="C49" s="7">
        <f t="shared" ref="C49:E49" si="58">C32</f>
        <v>1</v>
      </c>
      <c r="D49" s="7" t="str">
        <f t="shared" si="58"/>
        <v>Count</v>
      </c>
      <c r="E49" s="90">
        <f t="shared" si="58"/>
        <v>3.3979999999999996E-2</v>
      </c>
      <c r="F49" s="5" t="str">
        <f t="shared" si="30"/>
        <v>Count</v>
      </c>
      <c r="G49" s="5">
        <f>C49*E49</f>
        <v>3.3979999999999996E-2</v>
      </c>
      <c r="I49" s="7" t="s">
        <v>290</v>
      </c>
      <c r="J49" s="7">
        <f t="shared" si="38"/>
        <v>1</v>
      </c>
      <c r="K49" s="7" t="str">
        <f t="shared" si="39"/>
        <v>Count</v>
      </c>
      <c r="L49" s="90">
        <f t="shared" si="40"/>
        <v>3.6240000000000001E-2</v>
      </c>
      <c r="M49" s="5" t="str">
        <f t="shared" si="33"/>
        <v>Count</v>
      </c>
      <c r="N49" s="5">
        <f t="shared" si="45"/>
        <v>3.6240000000000001E-2</v>
      </c>
      <c r="P49" s="7" t="s">
        <v>291</v>
      </c>
      <c r="Q49" s="7">
        <f t="shared" ref="Q49:S49" si="59">Q32</f>
        <v>1</v>
      </c>
      <c r="R49" s="7" t="str">
        <f t="shared" si="59"/>
        <v>Count</v>
      </c>
      <c r="S49" s="90">
        <f t="shared" si="59"/>
        <v>3.3979999999999996E-2</v>
      </c>
      <c r="T49" s="5" t="str">
        <f>R49</f>
        <v>Count</v>
      </c>
      <c r="U49" s="5">
        <f>Q49*S49</f>
        <v>3.3979999999999996E-2</v>
      </c>
    </row>
    <row r="50" spans="2:21" x14ac:dyDescent="0.35">
      <c r="B50" s="7" t="s">
        <v>294</v>
      </c>
      <c r="C50" s="7">
        <f t="shared" ref="C50:E50" si="60">C33</f>
        <v>2</v>
      </c>
      <c r="D50" s="7" t="str">
        <f t="shared" si="60"/>
        <v>Count</v>
      </c>
      <c r="E50" s="90">
        <f t="shared" si="60"/>
        <v>9.8290489274490828E-2</v>
      </c>
      <c r="F50" s="5" t="str">
        <f t="shared" si="30"/>
        <v>Count</v>
      </c>
      <c r="G50" s="5">
        <f>C50*E50</f>
        <v>0.19658097854898166</v>
      </c>
      <c r="I50" s="7" t="s">
        <v>291</v>
      </c>
      <c r="J50" s="7">
        <f t="shared" si="38"/>
        <v>1</v>
      </c>
      <c r="K50" s="7" t="str">
        <f t="shared" si="39"/>
        <v>Count</v>
      </c>
      <c r="L50" s="90">
        <f t="shared" si="40"/>
        <v>3.3979999999999996E-2</v>
      </c>
      <c r="M50" s="5" t="str">
        <f t="shared" si="33"/>
        <v>Count</v>
      </c>
      <c r="N50" s="5">
        <f>J50*L50</f>
        <v>3.3979999999999996E-2</v>
      </c>
      <c r="P50" s="7" t="s">
        <v>294</v>
      </c>
      <c r="Q50" s="7">
        <f t="shared" ref="Q50:S50" si="61">Q33</f>
        <v>2</v>
      </c>
      <c r="R50" s="7" t="str">
        <f t="shared" si="61"/>
        <v>Count</v>
      </c>
      <c r="S50" s="90">
        <f t="shared" si="61"/>
        <v>9.8290489274490828E-2</v>
      </c>
      <c r="T50" s="5" t="str">
        <f>R50</f>
        <v>Count</v>
      </c>
      <c r="U50" s="5">
        <f>Q50*S50</f>
        <v>0.19658097854898166</v>
      </c>
    </row>
    <row r="51" spans="2:21" x14ac:dyDescent="0.35">
      <c r="I51" s="7" t="s">
        <v>294</v>
      </c>
      <c r="J51" s="7">
        <f t="shared" si="38"/>
        <v>2</v>
      </c>
      <c r="K51" s="7" t="str">
        <f t="shared" si="39"/>
        <v>Count</v>
      </c>
      <c r="L51" s="90">
        <f t="shared" si="40"/>
        <v>9.8290489274490828E-2</v>
      </c>
      <c r="M51" s="5" t="str">
        <f t="shared" si="33"/>
        <v>Count</v>
      </c>
      <c r="N51" s="5">
        <f>J51*L51</f>
        <v>0.19658097854898166</v>
      </c>
      <c r="P51" s="7" t="s">
        <v>149</v>
      </c>
      <c r="Q51" s="7">
        <f t="shared" ref="Q51:S51" si="62">Q34</f>
        <v>1</v>
      </c>
      <c r="R51" s="7" t="str">
        <f t="shared" si="62"/>
        <v>4-oz side</v>
      </c>
      <c r="S51" s="90">
        <f t="shared" si="62"/>
        <v>0.32149925141534941</v>
      </c>
      <c r="T51" s="5" t="str">
        <f>R51</f>
        <v>4-oz side</v>
      </c>
      <c r="U51" s="5">
        <f>Q51*S51</f>
        <v>0.32149925141534941</v>
      </c>
    </row>
    <row r="52" spans="2:21" ht="15.5" x14ac:dyDescent="0.35">
      <c r="B52" s="119" t="s">
        <v>328</v>
      </c>
      <c r="C52" s="120"/>
      <c r="D52" s="121"/>
      <c r="E52" s="122" t="s">
        <v>7</v>
      </c>
      <c r="F52" s="123"/>
      <c r="G52" s="30">
        <f>SUM(G56:G67)</f>
        <v>3.491587810671108</v>
      </c>
      <c r="S52" s="91"/>
    </row>
    <row r="53" spans="2:21" ht="15.5" x14ac:dyDescent="0.35">
      <c r="B53" s="9"/>
      <c r="G53" s="8"/>
      <c r="I53" s="119" t="s">
        <v>331</v>
      </c>
      <c r="J53" s="120"/>
      <c r="K53" s="121"/>
      <c r="L53" s="122" t="s">
        <v>7</v>
      </c>
      <c r="M53" s="123"/>
      <c r="N53" s="30">
        <f>SUM(N57:N67)</f>
        <v>4.7626676148903391</v>
      </c>
      <c r="P53" s="119" t="s">
        <v>334</v>
      </c>
      <c r="Q53" s="120"/>
      <c r="R53" s="121"/>
      <c r="S53" s="122" t="s">
        <v>7</v>
      </c>
      <c r="T53" s="123"/>
      <c r="U53" s="30">
        <f>SUM(U57:U68)</f>
        <v>7.7662690818895701</v>
      </c>
    </row>
    <row r="54" spans="2:21" x14ac:dyDescent="0.35">
      <c r="B54" s="10"/>
      <c r="C54" s="124" t="s">
        <v>13</v>
      </c>
      <c r="D54" s="125"/>
      <c r="E54" s="124" t="s">
        <v>14</v>
      </c>
      <c r="F54" s="125"/>
      <c r="G54" s="5" t="s">
        <v>6</v>
      </c>
      <c r="I54" s="9"/>
      <c r="N54" s="8"/>
      <c r="P54" s="9"/>
      <c r="U54" s="8"/>
    </row>
    <row r="55" spans="2:21" x14ac:dyDescent="0.35">
      <c r="B55" s="5" t="s">
        <v>10</v>
      </c>
      <c r="C55" s="5" t="s">
        <v>2</v>
      </c>
      <c r="D55" s="5" t="s">
        <v>1</v>
      </c>
      <c r="E55" s="5" t="s">
        <v>11</v>
      </c>
      <c r="F55" s="5" t="s">
        <v>1</v>
      </c>
      <c r="G55" s="5" t="s">
        <v>15</v>
      </c>
      <c r="I55" s="10"/>
      <c r="J55" s="124" t="s">
        <v>13</v>
      </c>
      <c r="K55" s="125"/>
      <c r="L55" s="124" t="s">
        <v>14</v>
      </c>
      <c r="M55" s="125"/>
      <c r="N55" s="5" t="s">
        <v>6</v>
      </c>
      <c r="P55" s="10"/>
      <c r="Q55" s="124" t="s">
        <v>13</v>
      </c>
      <c r="R55" s="125"/>
      <c r="S55" s="124" t="s">
        <v>14</v>
      </c>
      <c r="T55" s="125"/>
      <c r="U55" s="5" t="s">
        <v>6</v>
      </c>
    </row>
    <row r="56" spans="2:21" x14ac:dyDescent="0.35">
      <c r="B56" s="7" t="s">
        <v>88</v>
      </c>
      <c r="C56" s="7">
        <v>3</v>
      </c>
      <c r="D56" s="7" t="s">
        <v>128</v>
      </c>
      <c r="E56" s="5">
        <f>'Food Prices'!P64</f>
        <v>0.23137019230769232</v>
      </c>
      <c r="F56" s="5" t="str">
        <f t="shared" ref="F56:F67" si="63">D56</f>
        <v>Slice</v>
      </c>
      <c r="G56" s="5">
        <f t="shared" ref="G56:G57" si="64">C56*E56</f>
        <v>0.69411057692307698</v>
      </c>
      <c r="I56" s="5" t="s">
        <v>10</v>
      </c>
      <c r="J56" s="5" t="s">
        <v>2</v>
      </c>
      <c r="K56" s="5" t="s">
        <v>1</v>
      </c>
      <c r="L56" s="5" t="s">
        <v>11</v>
      </c>
      <c r="M56" s="5" t="s">
        <v>1</v>
      </c>
      <c r="N56" s="5" t="s">
        <v>15</v>
      </c>
      <c r="P56" s="5" t="s">
        <v>10</v>
      </c>
      <c r="Q56" s="5" t="s">
        <v>2</v>
      </c>
      <c r="R56" s="5" t="s">
        <v>1</v>
      </c>
      <c r="S56" s="5" t="s">
        <v>11</v>
      </c>
      <c r="T56" s="5" t="s">
        <v>1</v>
      </c>
      <c r="U56" s="5" t="s">
        <v>15</v>
      </c>
    </row>
    <row r="57" spans="2:21" x14ac:dyDescent="0.35">
      <c r="B57" s="7" t="s">
        <v>235</v>
      </c>
      <c r="C57" s="7">
        <v>4</v>
      </c>
      <c r="D57" s="7" t="s">
        <v>128</v>
      </c>
      <c r="E57" s="90">
        <f>'Food Prices'!P71</f>
        <v>0.171171875</v>
      </c>
      <c r="F57" s="5" t="str">
        <f t="shared" si="63"/>
        <v>Slice</v>
      </c>
      <c r="G57" s="5">
        <f t="shared" si="64"/>
        <v>0.6846875</v>
      </c>
      <c r="I57" s="7" t="s">
        <v>332</v>
      </c>
      <c r="J57" s="7">
        <v>10.125</v>
      </c>
      <c r="K57" s="7" t="s">
        <v>17</v>
      </c>
      <c r="L57" s="90">
        <f>Recipes!G38</f>
        <v>0.2650457702786766</v>
      </c>
      <c r="M57" s="5" t="str">
        <f t="shared" ref="M57:M67" si="65">K57</f>
        <v>Oz</v>
      </c>
      <c r="N57" s="5">
        <f t="shared" ref="N57" si="66">J57*L57</f>
        <v>2.6835884240716004</v>
      </c>
      <c r="P57" s="7" t="s">
        <v>243</v>
      </c>
      <c r="Q57" s="7">
        <v>10</v>
      </c>
      <c r="R57" s="7" t="s">
        <v>292</v>
      </c>
      <c r="S57" s="90">
        <f>'Food Prices'!P68</f>
        <v>0.29946428571428568</v>
      </c>
      <c r="T57" s="5" t="str">
        <f>R57</f>
        <v>Count</v>
      </c>
      <c r="U57" s="5">
        <f>Q57*S57</f>
        <v>2.9946428571428569</v>
      </c>
    </row>
    <row r="58" spans="2:21" x14ac:dyDescent="0.35">
      <c r="B58" s="7" t="s">
        <v>232</v>
      </c>
      <c r="C58" s="7">
        <f t="shared" ref="C58:C67" si="67">J8</f>
        <v>6.458333333333333</v>
      </c>
      <c r="D58" s="7" t="str">
        <f t="shared" ref="D58:D67" si="68">K8</f>
        <v>Oz</v>
      </c>
      <c r="E58" s="90">
        <f t="shared" ref="E58:E67" si="69">L8</f>
        <v>7.2727272727272724E-2</v>
      </c>
      <c r="F58" s="5" t="str">
        <f t="shared" si="63"/>
        <v>Oz</v>
      </c>
      <c r="G58" s="5">
        <f>C58*E58</f>
        <v>0.46969696969696967</v>
      </c>
      <c r="I58" s="7" t="s">
        <v>232</v>
      </c>
      <c r="J58" s="7">
        <f t="shared" ref="J58:K67" si="70">J8</f>
        <v>6.458333333333333</v>
      </c>
      <c r="K58" s="7" t="str">
        <f t="shared" si="70"/>
        <v>Oz</v>
      </c>
      <c r="L58" s="90">
        <f>S25</f>
        <v>9.7537878787878798E-2</v>
      </c>
      <c r="M58" s="5" t="str">
        <f t="shared" si="65"/>
        <v>Oz</v>
      </c>
      <c r="N58" s="5">
        <f>J58*L58</f>
        <v>0.62993213383838387</v>
      </c>
      <c r="P58" s="7" t="s">
        <v>232</v>
      </c>
      <c r="Q58" s="7">
        <f>Q24</f>
        <v>6.458333333333333</v>
      </c>
      <c r="R58" s="7" t="str">
        <f t="shared" ref="R58:S58" si="71">R24</f>
        <v>Oz</v>
      </c>
      <c r="S58" s="90">
        <f t="shared" si="71"/>
        <v>7.2727272727272724E-2</v>
      </c>
      <c r="T58" s="5" t="str">
        <f>R58</f>
        <v>Oz</v>
      </c>
      <c r="U58" s="5">
        <f>Q58*S58</f>
        <v>0.46969696969696967</v>
      </c>
    </row>
    <row r="59" spans="2:21" x14ac:dyDescent="0.35">
      <c r="B59" s="7" t="s">
        <v>233</v>
      </c>
      <c r="C59" s="7">
        <f t="shared" si="67"/>
        <v>5.166666666666667</v>
      </c>
      <c r="D59" s="7" t="str">
        <f t="shared" si="68"/>
        <v>Oz</v>
      </c>
      <c r="E59" s="90">
        <f t="shared" si="69"/>
        <v>9.7537878787878798E-2</v>
      </c>
      <c r="F59" s="5" t="str">
        <f t="shared" si="63"/>
        <v>Oz</v>
      </c>
      <c r="G59" s="5">
        <f t="shared" ref="G59:G65" si="72">C59*E59</f>
        <v>0.50394570707070718</v>
      </c>
      <c r="I59" s="7" t="s">
        <v>233</v>
      </c>
      <c r="J59" s="7">
        <f t="shared" si="70"/>
        <v>5.166666666666667</v>
      </c>
      <c r="K59" s="7" t="str">
        <f t="shared" si="70"/>
        <v>Oz</v>
      </c>
      <c r="L59" s="90">
        <f>S26</f>
        <v>0.06</v>
      </c>
      <c r="M59" s="5" t="str">
        <f t="shared" si="65"/>
        <v>Oz</v>
      </c>
      <c r="N59" s="5">
        <f t="shared" ref="N59:N65" si="73">J59*L59</f>
        <v>0.31</v>
      </c>
      <c r="P59" s="7" t="s">
        <v>233</v>
      </c>
      <c r="Q59" s="7">
        <f t="shared" ref="Q59:S59" si="74">Q25</f>
        <v>5.166666666666667</v>
      </c>
      <c r="R59" s="7" t="str">
        <f t="shared" si="74"/>
        <v>Oz</v>
      </c>
      <c r="S59" s="90">
        <f t="shared" si="74"/>
        <v>9.7537878787878798E-2</v>
      </c>
      <c r="T59" s="5" t="str">
        <f t="shared" ref="T59:T63" si="75">R59</f>
        <v>Oz</v>
      </c>
      <c r="U59" s="5">
        <f t="shared" ref="U59" si="76">Q59*S59</f>
        <v>0.50394570707070718</v>
      </c>
    </row>
    <row r="60" spans="2:21" x14ac:dyDescent="0.35">
      <c r="B60" s="7" t="s">
        <v>92</v>
      </c>
      <c r="C60" s="7">
        <f t="shared" si="67"/>
        <v>2.125</v>
      </c>
      <c r="D60" s="7" t="str">
        <f t="shared" si="68"/>
        <v>Oz</v>
      </c>
      <c r="E60" s="90">
        <f t="shared" si="69"/>
        <v>2.75E-2</v>
      </c>
      <c r="F60" s="5" t="str">
        <f t="shared" si="63"/>
        <v>Oz</v>
      </c>
      <c r="G60" s="5">
        <f t="shared" si="72"/>
        <v>5.8437500000000003E-2</v>
      </c>
      <c r="I60" s="7" t="s">
        <v>92</v>
      </c>
      <c r="J60" s="7">
        <f t="shared" si="70"/>
        <v>2.125</v>
      </c>
      <c r="K60" s="7" t="str">
        <f t="shared" si="70"/>
        <v>Oz</v>
      </c>
      <c r="L60" s="90">
        <f t="shared" ref="L60:L67" si="77">L10</f>
        <v>2.75E-2</v>
      </c>
      <c r="M60" s="5" t="str">
        <f t="shared" si="65"/>
        <v>Oz</v>
      </c>
      <c r="N60" s="5">
        <f t="shared" si="73"/>
        <v>5.8437500000000003E-2</v>
      </c>
      <c r="P60" s="7" t="s">
        <v>288</v>
      </c>
      <c r="Q60" s="7">
        <f t="shared" ref="Q60:S60" si="78">Q26</f>
        <v>3.625</v>
      </c>
      <c r="R60" s="7" t="str">
        <f t="shared" si="78"/>
        <v>Oz</v>
      </c>
      <c r="S60" s="90">
        <f t="shared" si="78"/>
        <v>0.06</v>
      </c>
      <c r="T60" s="5" t="str">
        <f t="shared" si="75"/>
        <v>Oz</v>
      </c>
      <c r="U60" s="5">
        <f>Q60*S60</f>
        <v>0.2175</v>
      </c>
    </row>
    <row r="61" spans="2:21" x14ac:dyDescent="0.35">
      <c r="B61" s="7" t="s">
        <v>288</v>
      </c>
      <c r="C61" s="7">
        <f t="shared" si="67"/>
        <v>3.625</v>
      </c>
      <c r="D61" s="7" t="str">
        <f t="shared" si="68"/>
        <v>Oz</v>
      </c>
      <c r="E61" s="90">
        <f t="shared" si="69"/>
        <v>0.06</v>
      </c>
      <c r="F61" s="5" t="str">
        <f t="shared" si="63"/>
        <v>Oz</v>
      </c>
      <c r="G61" s="5">
        <f t="shared" si="72"/>
        <v>0.2175</v>
      </c>
      <c r="I61" s="7" t="s">
        <v>288</v>
      </c>
      <c r="J61" s="7">
        <f t="shared" si="70"/>
        <v>3.625</v>
      </c>
      <c r="K61" s="7" t="str">
        <f t="shared" si="70"/>
        <v>Oz</v>
      </c>
      <c r="L61" s="90">
        <f t="shared" si="77"/>
        <v>0.06</v>
      </c>
      <c r="M61" s="5" t="str">
        <f t="shared" si="65"/>
        <v>Oz</v>
      </c>
      <c r="N61" s="5">
        <f t="shared" si="73"/>
        <v>0.2175</v>
      </c>
      <c r="P61" s="7" t="s">
        <v>146</v>
      </c>
      <c r="Q61" s="7">
        <f t="shared" ref="Q61:S61" si="79">Q27</f>
        <v>1</v>
      </c>
      <c r="R61" s="7" t="str">
        <f t="shared" si="79"/>
        <v>Oz</v>
      </c>
      <c r="S61" s="90">
        <f t="shared" si="79"/>
        <v>8.7187500000000001E-2</v>
      </c>
      <c r="T61" s="5" t="str">
        <f t="shared" si="75"/>
        <v>Oz</v>
      </c>
      <c r="U61" s="5">
        <f>Q61*S61</f>
        <v>8.7187500000000001E-2</v>
      </c>
    </row>
    <row r="62" spans="2:21" x14ac:dyDescent="0.35">
      <c r="B62" s="7" t="s">
        <v>234</v>
      </c>
      <c r="C62" s="7">
        <f t="shared" si="67"/>
        <v>2.5</v>
      </c>
      <c r="D62" s="7" t="str">
        <f t="shared" si="68"/>
        <v>Oz</v>
      </c>
      <c r="E62" s="90">
        <f t="shared" si="69"/>
        <v>5.0666666666666665E-2</v>
      </c>
      <c r="F62" s="5" t="str">
        <f t="shared" si="63"/>
        <v>Oz</v>
      </c>
      <c r="G62" s="5">
        <f t="shared" si="72"/>
        <v>0.12666666666666665</v>
      </c>
      <c r="I62" s="7" t="s">
        <v>234</v>
      </c>
      <c r="J62" s="7">
        <f t="shared" si="70"/>
        <v>2.5</v>
      </c>
      <c r="K62" s="7" t="str">
        <f t="shared" si="70"/>
        <v>Oz</v>
      </c>
      <c r="L62" s="90">
        <f t="shared" si="77"/>
        <v>5.0666666666666665E-2</v>
      </c>
      <c r="M62" s="5" t="str">
        <f t="shared" si="65"/>
        <v>Oz</v>
      </c>
      <c r="N62" s="5">
        <f t="shared" si="73"/>
        <v>0.12666666666666665</v>
      </c>
      <c r="P62" s="7" t="s">
        <v>327</v>
      </c>
      <c r="Q62" s="7">
        <f t="shared" ref="Q62:S62" si="80">Q28</f>
        <v>3.125</v>
      </c>
      <c r="R62" s="7" t="str">
        <f t="shared" si="80"/>
        <v>Oz</v>
      </c>
      <c r="S62" s="90">
        <f t="shared" si="80"/>
        <v>0.625</v>
      </c>
      <c r="T62" s="5" t="str">
        <f t="shared" si="75"/>
        <v>Oz</v>
      </c>
      <c r="U62" s="5">
        <f t="shared" ref="U62:U65" si="81">Q62*S62</f>
        <v>1.953125</v>
      </c>
    </row>
    <row r="63" spans="2:21" x14ac:dyDescent="0.35">
      <c r="B63" s="7" t="s">
        <v>22</v>
      </c>
      <c r="C63" s="7">
        <f t="shared" si="67"/>
        <v>2.5</v>
      </c>
      <c r="D63" s="7" t="str">
        <f t="shared" si="68"/>
        <v>Oz</v>
      </c>
      <c r="E63" s="90">
        <f t="shared" si="69"/>
        <v>0.18312500000000001</v>
      </c>
      <c r="F63" s="5" t="str">
        <f t="shared" si="63"/>
        <v>Oz</v>
      </c>
      <c r="G63" s="5">
        <f t="shared" si="72"/>
        <v>0.45781250000000001</v>
      </c>
      <c r="I63" s="7" t="s">
        <v>22</v>
      </c>
      <c r="J63" s="7">
        <f t="shared" si="70"/>
        <v>2.5</v>
      </c>
      <c r="K63" s="7" t="str">
        <f t="shared" si="70"/>
        <v>Oz</v>
      </c>
      <c r="L63" s="90">
        <f t="shared" si="77"/>
        <v>0.18312500000000001</v>
      </c>
      <c r="M63" s="5" t="str">
        <f t="shared" si="65"/>
        <v>Oz</v>
      </c>
      <c r="N63" s="5">
        <f t="shared" si="73"/>
        <v>0.45781250000000001</v>
      </c>
      <c r="P63" s="7" t="s">
        <v>148</v>
      </c>
      <c r="Q63" s="7">
        <f t="shared" ref="Q63:S63" si="82">Q29</f>
        <v>4.375</v>
      </c>
      <c r="R63" s="7" t="str">
        <f t="shared" si="82"/>
        <v>Oz</v>
      </c>
      <c r="S63" s="90">
        <f t="shared" si="82"/>
        <v>0.21484375</v>
      </c>
      <c r="T63" s="5" t="str">
        <f t="shared" si="75"/>
        <v>Oz</v>
      </c>
      <c r="U63" s="5">
        <f t="shared" si="81"/>
        <v>0.93994140625</v>
      </c>
    </row>
    <row r="64" spans="2:21" x14ac:dyDescent="0.35">
      <c r="B64" s="7" t="s">
        <v>289</v>
      </c>
      <c r="C64" s="7">
        <f t="shared" si="67"/>
        <v>1</v>
      </c>
      <c r="D64" s="7" t="str">
        <f t="shared" si="68"/>
        <v>Count</v>
      </c>
      <c r="E64" s="90">
        <f t="shared" si="69"/>
        <v>1.1929411764705883E-2</v>
      </c>
      <c r="F64" s="5" t="str">
        <f t="shared" si="63"/>
        <v>Count</v>
      </c>
      <c r="G64" s="5">
        <f t="shared" si="72"/>
        <v>1.1929411764705883E-2</v>
      </c>
      <c r="I64" s="7" t="s">
        <v>289</v>
      </c>
      <c r="J64" s="7">
        <f t="shared" si="70"/>
        <v>1</v>
      </c>
      <c r="K64" s="7" t="str">
        <f t="shared" si="70"/>
        <v>Count</v>
      </c>
      <c r="L64" s="90">
        <f t="shared" si="77"/>
        <v>1.1929411764705883E-2</v>
      </c>
      <c r="M64" s="5" t="str">
        <f t="shared" si="65"/>
        <v>Count</v>
      </c>
      <c r="N64" s="5">
        <f t="shared" si="73"/>
        <v>1.1929411764705883E-2</v>
      </c>
      <c r="P64" s="7" t="s">
        <v>289</v>
      </c>
      <c r="Q64" s="7">
        <f t="shared" ref="Q64:S64" si="83">Q30</f>
        <v>1</v>
      </c>
      <c r="R64" s="7" t="str">
        <f t="shared" si="83"/>
        <v>Count</v>
      </c>
      <c r="S64" s="90">
        <f t="shared" si="83"/>
        <v>1.1929411764705883E-2</v>
      </c>
      <c r="T64" s="88" t="str">
        <f>R64</f>
        <v>Count</v>
      </c>
      <c r="U64" s="5">
        <f t="shared" si="81"/>
        <v>1.1929411764705883E-2</v>
      </c>
    </row>
    <row r="65" spans="2:21" x14ac:dyDescent="0.35">
      <c r="B65" s="7" t="s">
        <v>290</v>
      </c>
      <c r="C65" s="7">
        <f t="shared" si="67"/>
        <v>1</v>
      </c>
      <c r="D65" s="7" t="str">
        <f t="shared" si="68"/>
        <v>Count</v>
      </c>
      <c r="E65" s="90">
        <f t="shared" si="69"/>
        <v>3.6240000000000001E-2</v>
      </c>
      <c r="F65" s="5" t="str">
        <f t="shared" si="63"/>
        <v>Count</v>
      </c>
      <c r="G65" s="5">
        <f t="shared" si="72"/>
        <v>3.6240000000000001E-2</v>
      </c>
      <c r="I65" s="7" t="s">
        <v>290</v>
      </c>
      <c r="J65" s="7">
        <f t="shared" si="70"/>
        <v>1</v>
      </c>
      <c r="K65" s="7" t="str">
        <f t="shared" si="70"/>
        <v>Count</v>
      </c>
      <c r="L65" s="90">
        <f t="shared" si="77"/>
        <v>3.6240000000000001E-2</v>
      </c>
      <c r="M65" s="5" t="str">
        <f t="shared" si="65"/>
        <v>Count</v>
      </c>
      <c r="N65" s="5">
        <f t="shared" si="73"/>
        <v>3.6240000000000001E-2</v>
      </c>
      <c r="P65" s="7" t="s">
        <v>290</v>
      </c>
      <c r="Q65" s="7">
        <f t="shared" ref="Q65:S65" si="84">Q31</f>
        <v>1</v>
      </c>
      <c r="R65" s="7" t="str">
        <f t="shared" si="84"/>
        <v>Count</v>
      </c>
      <c r="S65" s="90">
        <f t="shared" si="84"/>
        <v>3.6240000000000001E-2</v>
      </c>
      <c r="T65" s="5" t="str">
        <f>R65</f>
        <v>Count</v>
      </c>
      <c r="U65" s="5">
        <f t="shared" si="81"/>
        <v>3.6240000000000001E-2</v>
      </c>
    </row>
    <row r="66" spans="2:21" x14ac:dyDescent="0.35">
      <c r="B66" s="7" t="s">
        <v>291</v>
      </c>
      <c r="C66" s="7">
        <f t="shared" si="67"/>
        <v>1</v>
      </c>
      <c r="D66" s="7" t="str">
        <f t="shared" si="68"/>
        <v>Count</v>
      </c>
      <c r="E66" s="90">
        <f t="shared" si="69"/>
        <v>3.3979999999999996E-2</v>
      </c>
      <c r="F66" s="5" t="str">
        <f t="shared" si="63"/>
        <v>Count</v>
      </c>
      <c r="G66" s="5">
        <f>C66*E66</f>
        <v>3.3979999999999996E-2</v>
      </c>
      <c r="I66" s="7" t="s">
        <v>291</v>
      </c>
      <c r="J66" s="7">
        <f t="shared" si="70"/>
        <v>1</v>
      </c>
      <c r="K66" s="7" t="str">
        <f t="shared" si="70"/>
        <v>Count</v>
      </c>
      <c r="L66" s="90">
        <f t="shared" si="77"/>
        <v>3.3979999999999996E-2</v>
      </c>
      <c r="M66" s="5" t="str">
        <f t="shared" si="65"/>
        <v>Count</v>
      </c>
      <c r="N66" s="5">
        <f>J66*L66</f>
        <v>3.3979999999999996E-2</v>
      </c>
      <c r="P66" s="7" t="s">
        <v>291</v>
      </c>
      <c r="Q66" s="7">
        <f t="shared" ref="Q66:S66" si="85">Q32</f>
        <v>1</v>
      </c>
      <c r="R66" s="7" t="str">
        <f t="shared" si="85"/>
        <v>Count</v>
      </c>
      <c r="S66" s="90">
        <f t="shared" si="85"/>
        <v>3.3979999999999996E-2</v>
      </c>
      <c r="T66" s="5" t="str">
        <f>R66</f>
        <v>Count</v>
      </c>
      <c r="U66" s="5">
        <f>Q66*S66</f>
        <v>3.3979999999999996E-2</v>
      </c>
    </row>
    <row r="67" spans="2:21" x14ac:dyDescent="0.35">
      <c r="B67" s="7" t="s">
        <v>294</v>
      </c>
      <c r="C67" s="7">
        <f t="shared" si="67"/>
        <v>2</v>
      </c>
      <c r="D67" s="7" t="str">
        <f t="shared" si="68"/>
        <v>Count</v>
      </c>
      <c r="E67" s="90">
        <f t="shared" si="69"/>
        <v>9.8290489274490828E-2</v>
      </c>
      <c r="F67" s="5" t="str">
        <f t="shared" si="63"/>
        <v>Count</v>
      </c>
      <c r="G67" s="5">
        <f>C67*E67</f>
        <v>0.19658097854898166</v>
      </c>
      <c r="I67" s="7" t="s">
        <v>294</v>
      </c>
      <c r="J67" s="7">
        <f t="shared" si="70"/>
        <v>2</v>
      </c>
      <c r="K67" s="7" t="str">
        <f t="shared" si="70"/>
        <v>Count</v>
      </c>
      <c r="L67" s="90">
        <f t="shared" si="77"/>
        <v>9.8290489274490828E-2</v>
      </c>
      <c r="M67" s="5" t="str">
        <f t="shared" si="65"/>
        <v>Count</v>
      </c>
      <c r="N67" s="5">
        <f>J67*L67</f>
        <v>0.19658097854898166</v>
      </c>
      <c r="P67" s="7" t="s">
        <v>294</v>
      </c>
      <c r="Q67" s="7">
        <f t="shared" ref="Q67:S67" si="86">Q33</f>
        <v>2</v>
      </c>
      <c r="R67" s="7" t="str">
        <f t="shared" si="86"/>
        <v>Count</v>
      </c>
      <c r="S67" s="90">
        <f t="shared" si="86"/>
        <v>9.8290489274490828E-2</v>
      </c>
      <c r="T67" s="5" t="str">
        <f>R67</f>
        <v>Count</v>
      </c>
      <c r="U67" s="5">
        <f>Q67*S67</f>
        <v>0.19658097854898166</v>
      </c>
    </row>
    <row r="68" spans="2:21" x14ac:dyDescent="0.35">
      <c r="P68" s="7" t="s">
        <v>149</v>
      </c>
      <c r="Q68" s="7">
        <f t="shared" ref="Q68:S68" si="87">Q34</f>
        <v>1</v>
      </c>
      <c r="R68" s="7" t="str">
        <f t="shared" si="87"/>
        <v>4-oz side</v>
      </c>
      <c r="S68" s="90">
        <f t="shared" si="87"/>
        <v>0.32149925141534941</v>
      </c>
      <c r="T68" s="5" t="str">
        <f>R68</f>
        <v>4-oz side</v>
      </c>
      <c r="U68" s="5">
        <f>Q68*S68</f>
        <v>0.32149925141534941</v>
      </c>
    </row>
    <row r="69" spans="2:21" ht="15.5" x14ac:dyDescent="0.35">
      <c r="B69" s="119" t="s">
        <v>335</v>
      </c>
      <c r="C69" s="120"/>
      <c r="D69" s="121"/>
      <c r="E69" s="122" t="s">
        <v>7</v>
      </c>
      <c r="F69" s="123"/>
      <c r="G69" s="30">
        <f>SUM(G73:G83)</f>
        <v>4.6183291908187378</v>
      </c>
      <c r="I69" s="119" t="s">
        <v>407</v>
      </c>
      <c r="J69" s="120"/>
      <c r="K69" s="121"/>
      <c r="L69" s="122" t="s">
        <v>7</v>
      </c>
      <c r="M69" s="123"/>
      <c r="N69" s="30">
        <f>SUM(N73:N82)</f>
        <v>0.98649499651849382</v>
      </c>
      <c r="S69" s="91"/>
    </row>
    <row r="70" spans="2:21" ht="14.5" customHeight="1" x14ac:dyDescent="0.35">
      <c r="B70" s="9"/>
      <c r="G70" s="8"/>
      <c r="I70" s="9"/>
      <c r="N70" s="8"/>
      <c r="P70" s="119" t="s">
        <v>488</v>
      </c>
      <c r="Q70" s="120"/>
      <c r="R70" s="121"/>
      <c r="S70" s="122" t="s">
        <v>7</v>
      </c>
      <c r="T70" s="123"/>
      <c r="U70" s="30">
        <f>SUM(U74:U85)</f>
        <v>3.9447348865305969</v>
      </c>
    </row>
    <row r="71" spans="2:21" ht="14.5" customHeight="1" x14ac:dyDescent="0.35">
      <c r="B71" s="10"/>
      <c r="C71" s="124" t="s">
        <v>13</v>
      </c>
      <c r="D71" s="125"/>
      <c r="E71" s="124" t="s">
        <v>14</v>
      </c>
      <c r="F71" s="125"/>
      <c r="G71" s="5" t="s">
        <v>6</v>
      </c>
      <c r="I71" s="10"/>
      <c r="J71" s="124" t="s">
        <v>13</v>
      </c>
      <c r="K71" s="125"/>
      <c r="L71" s="124" t="s">
        <v>14</v>
      </c>
      <c r="M71" s="125"/>
      <c r="N71" s="5" t="s">
        <v>6</v>
      </c>
      <c r="P71" s="9"/>
      <c r="U71" s="8"/>
    </row>
    <row r="72" spans="2:21" ht="14.5" customHeight="1" x14ac:dyDescent="0.35">
      <c r="B72" s="5" t="s">
        <v>10</v>
      </c>
      <c r="C72" s="5" t="s">
        <v>2</v>
      </c>
      <c r="D72" s="5" t="s">
        <v>1</v>
      </c>
      <c r="E72" s="5" t="s">
        <v>11</v>
      </c>
      <c r="F72" s="5" t="s">
        <v>1</v>
      </c>
      <c r="G72" s="5" t="s">
        <v>15</v>
      </c>
      <c r="I72" s="5" t="s">
        <v>10</v>
      </c>
      <c r="J72" s="5" t="s">
        <v>2</v>
      </c>
      <c r="K72" s="5" t="s">
        <v>1</v>
      </c>
      <c r="L72" s="5" t="s">
        <v>11</v>
      </c>
      <c r="M72" s="5" t="s">
        <v>1</v>
      </c>
      <c r="N72" s="5" t="s">
        <v>15</v>
      </c>
      <c r="P72" s="10"/>
      <c r="Q72" s="124" t="s">
        <v>13</v>
      </c>
      <c r="R72" s="125"/>
      <c r="S72" s="124" t="s">
        <v>14</v>
      </c>
      <c r="T72" s="125"/>
      <c r="U72" s="5" t="s">
        <v>6</v>
      </c>
    </row>
    <row r="73" spans="2:21" ht="14.5" customHeight="1" x14ac:dyDescent="0.35">
      <c r="B73" s="7" t="s">
        <v>96</v>
      </c>
      <c r="C73" s="7">
        <v>1.5</v>
      </c>
      <c r="D73" s="7" t="s">
        <v>96</v>
      </c>
      <c r="E73" s="90">
        <f>'Food Prices'!P70</f>
        <v>1.625</v>
      </c>
      <c r="F73" s="5" t="str">
        <f>D73</f>
        <v>Steak</v>
      </c>
      <c r="G73" s="5">
        <f>C73*E73</f>
        <v>2.4375</v>
      </c>
      <c r="I73" s="7" t="s">
        <v>232</v>
      </c>
      <c r="J73" s="7">
        <f>C8</f>
        <v>1.875</v>
      </c>
      <c r="K73" s="7" t="s">
        <v>17</v>
      </c>
      <c r="L73" s="5">
        <f>E8</f>
        <v>7.2727272727272724E-2</v>
      </c>
      <c r="M73" s="5" t="str">
        <f>K73</f>
        <v>Oz</v>
      </c>
      <c r="N73" s="5">
        <f>J73*L73</f>
        <v>0.13636363636363635</v>
      </c>
      <c r="P73" s="5" t="s">
        <v>10</v>
      </c>
      <c r="Q73" s="5" t="s">
        <v>2</v>
      </c>
      <c r="R73" s="5" t="s">
        <v>1</v>
      </c>
      <c r="S73" s="5" t="s">
        <v>11</v>
      </c>
      <c r="T73" s="5" t="s">
        <v>1</v>
      </c>
      <c r="U73" s="5" t="s">
        <v>15</v>
      </c>
    </row>
    <row r="74" spans="2:21" ht="14.5" customHeight="1" x14ac:dyDescent="0.35">
      <c r="B74" s="7" t="s">
        <v>232</v>
      </c>
      <c r="C74" s="7">
        <f>J58</f>
        <v>6.458333333333333</v>
      </c>
      <c r="D74" s="7" t="str">
        <f t="shared" ref="D74:D83" si="88">K58</f>
        <v>Oz</v>
      </c>
      <c r="E74" s="90">
        <f t="shared" ref="E74:E83" si="89">L58</f>
        <v>9.7537878787878798E-2</v>
      </c>
      <c r="F74" s="5" t="str">
        <f>D74</f>
        <v>Oz</v>
      </c>
      <c r="G74" s="5">
        <f>C74*E74</f>
        <v>0.62993213383838387</v>
      </c>
      <c r="I74" s="7" t="s">
        <v>233</v>
      </c>
      <c r="J74" s="7">
        <f>C9</f>
        <v>1.5</v>
      </c>
      <c r="K74" s="7" t="s">
        <v>17</v>
      </c>
      <c r="L74" s="5">
        <f>E9</f>
        <v>9.7537878787878798E-2</v>
      </c>
      <c r="M74" s="5" t="str">
        <f t="shared" ref="M74" si="90">K74</f>
        <v>Oz</v>
      </c>
      <c r="N74" s="5">
        <f t="shared" ref="N74:N75" si="91">J74*L74</f>
        <v>0.1463068181818182</v>
      </c>
      <c r="P74" s="7" t="s">
        <v>324</v>
      </c>
      <c r="Q74" s="7">
        <f>Q40</f>
        <v>11</v>
      </c>
      <c r="R74" s="7" t="s">
        <v>17</v>
      </c>
      <c r="S74" s="90">
        <f>S40</f>
        <v>0.126546875</v>
      </c>
      <c r="T74" s="90" t="str">
        <f t="shared" ref="T74:U74" si="92">T40</f>
        <v>Oz</v>
      </c>
      <c r="U74" s="90">
        <f t="shared" si="92"/>
        <v>1.392015625</v>
      </c>
    </row>
    <row r="75" spans="2:21" x14ac:dyDescent="0.35">
      <c r="B75" s="7" t="s">
        <v>233</v>
      </c>
      <c r="C75" s="7">
        <f>J59</f>
        <v>5.166666666666667</v>
      </c>
      <c r="D75" s="7" t="str">
        <f t="shared" si="88"/>
        <v>Oz</v>
      </c>
      <c r="E75" s="90">
        <f t="shared" si="89"/>
        <v>0.06</v>
      </c>
      <c r="F75" s="5" t="str">
        <f t="shared" ref="F75:F79" si="93">D75</f>
        <v>Oz</v>
      </c>
      <c r="G75" s="5">
        <f t="shared" ref="G75:G81" si="94">C75*E75</f>
        <v>0.31</v>
      </c>
      <c r="I75" s="7" t="s">
        <v>95</v>
      </c>
      <c r="J75" s="7">
        <v>2.625</v>
      </c>
      <c r="K75" s="7" t="s">
        <v>17</v>
      </c>
      <c r="L75" s="5">
        <f>L23</f>
        <v>0.126546875</v>
      </c>
      <c r="M75" s="5" t="s">
        <v>17</v>
      </c>
      <c r="N75" s="5">
        <f t="shared" si="91"/>
        <v>0.33218554687500002</v>
      </c>
      <c r="P75" s="7" t="str">
        <f>P8</f>
        <v>Romaine Lettuce</v>
      </c>
      <c r="Q75" s="7">
        <f t="shared" ref="Q75:U75" si="95">Q8</f>
        <v>6.458333333333333</v>
      </c>
      <c r="R75" s="7" t="str">
        <f t="shared" si="95"/>
        <v>Oz</v>
      </c>
      <c r="S75" s="90">
        <f t="shared" si="95"/>
        <v>7.2727272727272724E-2</v>
      </c>
      <c r="T75" s="90" t="str">
        <f t="shared" si="95"/>
        <v>Oz</v>
      </c>
      <c r="U75" s="90">
        <f t="shared" si="95"/>
        <v>0.46969696969696967</v>
      </c>
    </row>
    <row r="76" spans="2:21" x14ac:dyDescent="0.35">
      <c r="B76" s="7" t="s">
        <v>92</v>
      </c>
      <c r="C76" s="7">
        <v>5.8250000000000002</v>
      </c>
      <c r="D76" s="7" t="str">
        <f t="shared" si="88"/>
        <v>Oz</v>
      </c>
      <c r="E76" s="90">
        <f t="shared" si="89"/>
        <v>2.75E-2</v>
      </c>
      <c r="F76" s="5" t="str">
        <f t="shared" si="93"/>
        <v>Oz</v>
      </c>
      <c r="G76" s="5">
        <f t="shared" si="94"/>
        <v>0.16018750000000001</v>
      </c>
      <c r="I76" s="7" t="s">
        <v>92</v>
      </c>
      <c r="J76" s="7">
        <f>C10</f>
        <v>0.375</v>
      </c>
      <c r="K76" s="7" t="s">
        <v>17</v>
      </c>
      <c r="L76" s="5">
        <f>E10</f>
        <v>2.75E-2</v>
      </c>
      <c r="M76" s="5" t="str">
        <f t="shared" ref="M76:M82" si="96">K76</f>
        <v>Oz</v>
      </c>
      <c r="N76" s="5">
        <f t="shared" ref="N76:N82" si="97">J76*L76</f>
        <v>1.03125E-2</v>
      </c>
      <c r="P76" s="7" t="str">
        <f t="shared" ref="P76:U76" si="98">P9</f>
        <v>Iceburg Lettuce</v>
      </c>
      <c r="Q76" s="7">
        <f t="shared" si="98"/>
        <v>5.166666666666667</v>
      </c>
      <c r="R76" s="7" t="str">
        <f t="shared" si="98"/>
        <v>Oz</v>
      </c>
      <c r="S76" s="90">
        <f t="shared" si="98"/>
        <v>9.7537878787878798E-2</v>
      </c>
      <c r="T76" s="90" t="str">
        <f t="shared" si="98"/>
        <v>Oz</v>
      </c>
      <c r="U76" s="90">
        <f t="shared" si="98"/>
        <v>0.50394570707070718</v>
      </c>
    </row>
    <row r="77" spans="2:21" x14ac:dyDescent="0.35">
      <c r="B77" s="7" t="s">
        <v>288</v>
      </c>
      <c r="C77" s="7">
        <f t="shared" ref="C77:C83" si="99">J61</f>
        <v>3.625</v>
      </c>
      <c r="D77" s="7" t="str">
        <f t="shared" si="88"/>
        <v>Oz</v>
      </c>
      <c r="E77" s="90">
        <f t="shared" si="89"/>
        <v>0.06</v>
      </c>
      <c r="F77" s="5" t="str">
        <f t="shared" si="93"/>
        <v>Oz</v>
      </c>
      <c r="G77" s="5">
        <f t="shared" si="94"/>
        <v>0.2175</v>
      </c>
      <c r="I77" s="7" t="s">
        <v>288</v>
      </c>
      <c r="J77" s="7">
        <f t="shared" ref="J77:J79" si="100">C11</f>
        <v>1.625</v>
      </c>
      <c r="K77" s="7" t="s">
        <v>17</v>
      </c>
      <c r="L77" s="5">
        <f t="shared" ref="L77:L82" si="101">E11</f>
        <v>0.06</v>
      </c>
      <c r="M77" s="5" t="str">
        <f t="shared" si="96"/>
        <v>Oz</v>
      </c>
      <c r="N77" s="5">
        <f t="shared" si="97"/>
        <v>9.7500000000000003E-2</v>
      </c>
      <c r="P77" s="7" t="str">
        <f t="shared" ref="P77:U77" si="102">P10</f>
        <v>Onion</v>
      </c>
      <c r="Q77" s="7">
        <f t="shared" si="102"/>
        <v>2.125</v>
      </c>
      <c r="R77" s="7" t="str">
        <f t="shared" si="102"/>
        <v>Oz</v>
      </c>
      <c r="S77" s="90">
        <f t="shared" si="102"/>
        <v>2.75E-2</v>
      </c>
      <c r="T77" s="90" t="str">
        <f t="shared" si="102"/>
        <v>Oz</v>
      </c>
      <c r="U77" s="90">
        <f t="shared" si="102"/>
        <v>5.8437500000000003E-2</v>
      </c>
    </row>
    <row r="78" spans="2:21" x14ac:dyDescent="0.35">
      <c r="B78" s="7" t="s">
        <v>234</v>
      </c>
      <c r="C78" s="7">
        <f t="shared" si="99"/>
        <v>2.5</v>
      </c>
      <c r="D78" s="7" t="str">
        <f t="shared" si="88"/>
        <v>Oz</v>
      </c>
      <c r="E78" s="90">
        <f t="shared" si="89"/>
        <v>5.0666666666666665E-2</v>
      </c>
      <c r="F78" s="5" t="str">
        <f t="shared" si="93"/>
        <v>Oz</v>
      </c>
      <c r="G78" s="5">
        <f t="shared" si="94"/>
        <v>0.12666666666666665</v>
      </c>
      <c r="I78" s="7" t="s">
        <v>234</v>
      </c>
      <c r="J78" s="7">
        <f t="shared" si="100"/>
        <v>0.875</v>
      </c>
      <c r="K78" s="7" t="s">
        <v>17</v>
      </c>
      <c r="L78" s="5">
        <f t="shared" si="101"/>
        <v>5.0666666666666665E-2</v>
      </c>
      <c r="M78" s="5" t="str">
        <f t="shared" si="96"/>
        <v>Oz</v>
      </c>
      <c r="N78" s="5">
        <f t="shared" si="97"/>
        <v>4.4333333333333336E-2</v>
      </c>
      <c r="P78" s="7" t="str">
        <f t="shared" ref="P78:U78" si="103">P11</f>
        <v>Roma Tomatoes</v>
      </c>
      <c r="Q78" s="7">
        <f t="shared" si="103"/>
        <v>3.625</v>
      </c>
      <c r="R78" s="7" t="str">
        <f t="shared" si="103"/>
        <v>Oz</v>
      </c>
      <c r="S78" s="90">
        <f t="shared" si="103"/>
        <v>0.06</v>
      </c>
      <c r="T78" s="90" t="str">
        <f t="shared" si="103"/>
        <v>Oz</v>
      </c>
      <c r="U78" s="90">
        <f t="shared" si="103"/>
        <v>0.2175</v>
      </c>
    </row>
    <row r="79" spans="2:21" x14ac:dyDescent="0.35">
      <c r="B79" s="7" t="s">
        <v>22</v>
      </c>
      <c r="C79" s="7">
        <f t="shared" si="99"/>
        <v>2.5</v>
      </c>
      <c r="D79" s="7" t="str">
        <f t="shared" si="88"/>
        <v>Oz</v>
      </c>
      <c r="E79" s="90">
        <f t="shared" si="89"/>
        <v>0.18312500000000001</v>
      </c>
      <c r="F79" s="5" t="str">
        <f t="shared" si="93"/>
        <v>Oz</v>
      </c>
      <c r="G79" s="5">
        <f t="shared" si="94"/>
        <v>0.45781250000000001</v>
      </c>
      <c r="I79" s="7" t="s">
        <v>22</v>
      </c>
      <c r="J79" s="7">
        <f t="shared" si="100"/>
        <v>0.75</v>
      </c>
      <c r="K79" s="7" t="s">
        <v>17</v>
      </c>
      <c r="L79" s="5">
        <f t="shared" si="101"/>
        <v>0.18312500000000001</v>
      </c>
      <c r="M79" s="5" t="str">
        <f t="shared" si="96"/>
        <v>Oz</v>
      </c>
      <c r="N79" s="5">
        <f t="shared" si="97"/>
        <v>0.13734375000000001</v>
      </c>
      <c r="P79" s="7" t="str">
        <f t="shared" ref="P79:U79" si="104">P12</f>
        <v>Cucumber</v>
      </c>
      <c r="Q79" s="7">
        <f t="shared" si="104"/>
        <v>2.5</v>
      </c>
      <c r="R79" s="7" t="str">
        <f t="shared" si="104"/>
        <v>Oz</v>
      </c>
      <c r="S79" s="90">
        <f t="shared" si="104"/>
        <v>5.0666666666666665E-2</v>
      </c>
      <c r="T79" s="90" t="str">
        <f t="shared" si="104"/>
        <v>Oz</v>
      </c>
      <c r="U79" s="90">
        <f t="shared" si="104"/>
        <v>0.12666666666666665</v>
      </c>
    </row>
    <row r="80" spans="2:21" x14ac:dyDescent="0.35">
      <c r="B80" s="7" t="s">
        <v>289</v>
      </c>
      <c r="C80" s="7">
        <f t="shared" si="99"/>
        <v>1</v>
      </c>
      <c r="D80" s="7" t="str">
        <f t="shared" si="88"/>
        <v>Count</v>
      </c>
      <c r="E80" s="90">
        <f t="shared" si="89"/>
        <v>1.1929411764705883E-2</v>
      </c>
      <c r="F80" s="88" t="str">
        <f>D80</f>
        <v>Count</v>
      </c>
      <c r="G80" s="5">
        <f t="shared" si="94"/>
        <v>1.1929411764705883E-2</v>
      </c>
      <c r="I80" s="7" t="s">
        <v>289</v>
      </c>
      <c r="J80" s="7">
        <v>1</v>
      </c>
      <c r="K80" s="87" t="s">
        <v>292</v>
      </c>
      <c r="L80" s="5">
        <f t="shared" si="101"/>
        <v>1.1929411764705883E-2</v>
      </c>
      <c r="M80" s="88" t="str">
        <f t="shared" si="96"/>
        <v>Count</v>
      </c>
      <c r="N80" s="5">
        <f t="shared" si="97"/>
        <v>1.1929411764705883E-2</v>
      </c>
      <c r="P80" s="7" t="str">
        <f t="shared" ref="P80:U80" si="105">P13</f>
        <v>Parmesan Cheese</v>
      </c>
      <c r="Q80" s="7">
        <f t="shared" si="105"/>
        <v>1.25</v>
      </c>
      <c r="R80" s="7" t="str">
        <f t="shared" si="105"/>
        <v>Oz</v>
      </c>
      <c r="S80" s="90">
        <f t="shared" si="105"/>
        <v>0.18312500000000001</v>
      </c>
      <c r="T80" s="90" t="str">
        <f t="shared" si="105"/>
        <v>Oz</v>
      </c>
      <c r="U80" s="90">
        <f t="shared" si="105"/>
        <v>0.22890625000000001</v>
      </c>
    </row>
    <row r="81" spans="2:21" x14ac:dyDescent="0.35">
      <c r="B81" s="7" t="s">
        <v>290</v>
      </c>
      <c r="C81" s="7">
        <f t="shared" si="99"/>
        <v>1</v>
      </c>
      <c r="D81" s="7" t="str">
        <f t="shared" si="88"/>
        <v>Count</v>
      </c>
      <c r="E81" s="90">
        <f t="shared" si="89"/>
        <v>3.6240000000000001E-2</v>
      </c>
      <c r="F81" s="5" t="str">
        <f>D81</f>
        <v>Count</v>
      </c>
      <c r="G81" s="5">
        <f t="shared" si="94"/>
        <v>3.6240000000000001E-2</v>
      </c>
      <c r="I81" s="7" t="s">
        <v>290</v>
      </c>
      <c r="J81" s="7">
        <v>1</v>
      </c>
      <c r="K81" s="7" t="s">
        <v>292</v>
      </c>
      <c r="L81" s="5">
        <f t="shared" si="101"/>
        <v>3.6240000000000001E-2</v>
      </c>
      <c r="M81" s="5" t="str">
        <f t="shared" si="96"/>
        <v>Count</v>
      </c>
      <c r="N81" s="5">
        <f t="shared" si="97"/>
        <v>3.6240000000000001E-2</v>
      </c>
      <c r="P81" s="7" t="str">
        <f t="shared" ref="P81:U81" si="106">P14</f>
        <v>Rubberband</v>
      </c>
      <c r="Q81" s="7">
        <f t="shared" si="106"/>
        <v>1</v>
      </c>
      <c r="R81" s="7" t="str">
        <f t="shared" si="106"/>
        <v>Count</v>
      </c>
      <c r="S81" s="90">
        <f t="shared" si="106"/>
        <v>1.1929411764705883E-2</v>
      </c>
      <c r="T81" s="90" t="str">
        <f t="shared" si="106"/>
        <v>Count</v>
      </c>
      <c r="U81" s="90">
        <f t="shared" si="106"/>
        <v>1.1929411764705883E-2</v>
      </c>
    </row>
    <row r="82" spans="2:21" x14ac:dyDescent="0.35">
      <c r="B82" s="7" t="s">
        <v>291</v>
      </c>
      <c r="C82" s="7">
        <f t="shared" si="99"/>
        <v>1</v>
      </c>
      <c r="D82" s="7" t="str">
        <f t="shared" si="88"/>
        <v>Count</v>
      </c>
      <c r="E82" s="90">
        <f t="shared" si="89"/>
        <v>3.3979999999999996E-2</v>
      </c>
      <c r="F82" s="5" t="str">
        <f>D82</f>
        <v>Count</v>
      </c>
      <c r="G82" s="5">
        <f>C82*E82</f>
        <v>3.3979999999999996E-2</v>
      </c>
      <c r="I82" s="7" t="s">
        <v>291</v>
      </c>
      <c r="J82" s="7">
        <v>1</v>
      </c>
      <c r="K82" s="7" t="s">
        <v>292</v>
      </c>
      <c r="L82" s="5">
        <f t="shared" si="101"/>
        <v>3.3979999999999996E-2</v>
      </c>
      <c r="M82" s="5" t="str">
        <f t="shared" si="96"/>
        <v>Count</v>
      </c>
      <c r="N82" s="5">
        <f t="shared" si="97"/>
        <v>3.3979999999999996E-2</v>
      </c>
      <c r="P82" s="7" t="str">
        <f t="shared" ref="P82:U82" si="107">P15</f>
        <v>Fork &amp; Knife</v>
      </c>
      <c r="Q82" s="7">
        <f t="shared" si="107"/>
        <v>1</v>
      </c>
      <c r="R82" s="7" t="str">
        <f t="shared" si="107"/>
        <v>Count</v>
      </c>
      <c r="S82" s="90">
        <f t="shared" si="107"/>
        <v>3.6240000000000001E-2</v>
      </c>
      <c r="T82" s="90" t="str">
        <f t="shared" si="107"/>
        <v>Count</v>
      </c>
      <c r="U82" s="90">
        <f t="shared" si="107"/>
        <v>3.6240000000000001E-2</v>
      </c>
    </row>
    <row r="83" spans="2:21" x14ac:dyDescent="0.35">
      <c r="B83" s="7" t="s">
        <v>294</v>
      </c>
      <c r="C83" s="7">
        <f t="shared" si="99"/>
        <v>2</v>
      </c>
      <c r="D83" s="7" t="str">
        <f t="shared" si="88"/>
        <v>Count</v>
      </c>
      <c r="E83" s="90">
        <f t="shared" si="89"/>
        <v>9.8290489274490828E-2</v>
      </c>
      <c r="F83" s="5" t="str">
        <f>D83</f>
        <v>Count</v>
      </c>
      <c r="G83" s="5">
        <f>C83*E83</f>
        <v>0.19658097854898166</v>
      </c>
      <c r="P83" s="7" t="str">
        <f t="shared" ref="P83:U83" si="108">P16</f>
        <v>Plastic Bag</v>
      </c>
      <c r="Q83" s="7">
        <f t="shared" si="108"/>
        <v>1</v>
      </c>
      <c r="R83" s="7" t="str">
        <f t="shared" si="108"/>
        <v>Count</v>
      </c>
      <c r="S83" s="90">
        <f t="shared" si="108"/>
        <v>3.3979999999999996E-2</v>
      </c>
      <c r="T83" s="90" t="str">
        <f t="shared" si="108"/>
        <v>Count</v>
      </c>
      <c r="U83" s="90">
        <f t="shared" si="108"/>
        <v>3.3979999999999996E-2</v>
      </c>
    </row>
    <row r="84" spans="2:21" x14ac:dyDescent="0.35">
      <c r="P84" s="7" t="str">
        <f t="shared" ref="P84:P85" si="109">P17</f>
        <v>Breadsticks</v>
      </c>
      <c r="Q84" s="7">
        <f t="shared" ref="Q84:U84" si="110">Q17</f>
        <v>2</v>
      </c>
      <c r="R84" s="7" t="str">
        <f t="shared" si="110"/>
        <v>Count</v>
      </c>
      <c r="S84" s="90">
        <f t="shared" si="110"/>
        <v>9.8290489274490828E-2</v>
      </c>
      <c r="T84" s="90" t="str">
        <f t="shared" si="110"/>
        <v>Count</v>
      </c>
      <c r="U84" s="90">
        <f t="shared" si="110"/>
        <v>0.19658097854898166</v>
      </c>
    </row>
    <row r="85" spans="2:21" x14ac:dyDescent="0.35">
      <c r="P85" s="7" t="str">
        <f t="shared" si="109"/>
        <v>Caesar Dressing</v>
      </c>
      <c r="Q85" s="7">
        <f t="shared" ref="Q85:U85" si="111">Q18</f>
        <v>5</v>
      </c>
      <c r="R85" s="7" t="str">
        <f t="shared" si="111"/>
        <v>Oz</v>
      </c>
      <c r="S85" s="90">
        <f t="shared" si="111"/>
        <v>0.13376715555651317</v>
      </c>
      <c r="T85" s="90" t="str">
        <f t="shared" si="111"/>
        <v>Oz</v>
      </c>
      <c r="U85" s="90">
        <f t="shared" si="111"/>
        <v>0.66883577778256587</v>
      </c>
    </row>
  </sheetData>
  <mergeCells count="62">
    <mergeCell ref="B19:D19"/>
    <mergeCell ref="E19:F19"/>
    <mergeCell ref="C21:D21"/>
    <mergeCell ref="C1:O1"/>
    <mergeCell ref="B4:D4"/>
    <mergeCell ref="E4:F4"/>
    <mergeCell ref="C6:D6"/>
    <mergeCell ref="E6:F6"/>
    <mergeCell ref="I4:K4"/>
    <mergeCell ref="L4:M4"/>
    <mergeCell ref="J6:K6"/>
    <mergeCell ref="L6:M6"/>
    <mergeCell ref="E2:F2"/>
    <mergeCell ref="S22:T22"/>
    <mergeCell ref="E21:F21"/>
    <mergeCell ref="Q22:R22"/>
    <mergeCell ref="I19:K19"/>
    <mergeCell ref="L19:M19"/>
    <mergeCell ref="J21:K21"/>
    <mergeCell ref="L21:M21"/>
    <mergeCell ref="S4:T4"/>
    <mergeCell ref="Q6:R6"/>
    <mergeCell ref="S6:T6"/>
    <mergeCell ref="P20:R20"/>
    <mergeCell ref="S20:T20"/>
    <mergeCell ref="P4:R4"/>
    <mergeCell ref="B35:D35"/>
    <mergeCell ref="E35:F35"/>
    <mergeCell ref="C37:D37"/>
    <mergeCell ref="E37:F37"/>
    <mergeCell ref="I37:K37"/>
    <mergeCell ref="L37:M37"/>
    <mergeCell ref="P36:R36"/>
    <mergeCell ref="S36:T36"/>
    <mergeCell ref="B69:D69"/>
    <mergeCell ref="E69:F69"/>
    <mergeCell ref="Q38:R38"/>
    <mergeCell ref="B52:D52"/>
    <mergeCell ref="E52:F52"/>
    <mergeCell ref="J39:K39"/>
    <mergeCell ref="C71:D71"/>
    <mergeCell ref="E71:F71"/>
    <mergeCell ref="S38:T38"/>
    <mergeCell ref="P53:R53"/>
    <mergeCell ref="S53:T53"/>
    <mergeCell ref="Q55:R55"/>
    <mergeCell ref="S55:T55"/>
    <mergeCell ref="L39:M39"/>
    <mergeCell ref="I53:K53"/>
    <mergeCell ref="L53:M53"/>
    <mergeCell ref="J55:K55"/>
    <mergeCell ref="L55:M55"/>
    <mergeCell ref="C54:D54"/>
    <mergeCell ref="E54:F54"/>
    <mergeCell ref="P70:R70"/>
    <mergeCell ref="S70:T70"/>
    <mergeCell ref="Q72:R72"/>
    <mergeCell ref="S72:T72"/>
    <mergeCell ref="I69:K69"/>
    <mergeCell ref="L69:M69"/>
    <mergeCell ref="J71:K71"/>
    <mergeCell ref="L71:M71"/>
  </mergeCells>
  <pageMargins left="0.25" right="0.25" top="0.75" bottom="0.75" header="0.3" footer="0.3"/>
  <pageSetup scale="62"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55638-1218-4AAD-A3EE-5D5C35D612C8}">
  <sheetPr codeName="Sheet8">
    <pageSetUpPr fitToPage="1"/>
  </sheetPr>
  <dimension ref="A1:U169"/>
  <sheetViews>
    <sheetView showGridLines="0" topLeftCell="I1" zoomScale="90" zoomScaleNormal="90" workbookViewId="0">
      <selection activeCell="H1" sqref="H1:N1"/>
    </sheetView>
  </sheetViews>
  <sheetFormatPr defaultRowHeight="14.5" x14ac:dyDescent="0.35"/>
  <cols>
    <col min="1" max="1" width="3.1796875" customWidth="1"/>
    <col min="2" max="2" width="16.6328125" bestFit="1" customWidth="1"/>
    <col min="5" max="5" width="12.26953125" bestFit="1" customWidth="1"/>
    <col min="9" max="9" width="15.36328125" bestFit="1" customWidth="1"/>
    <col min="12" max="12" width="12.26953125" bestFit="1" customWidth="1"/>
    <col min="16" max="16" width="19.26953125" bestFit="1" customWidth="1"/>
    <col min="17" max="17" width="13.81640625" bestFit="1" customWidth="1"/>
    <col min="18" max="18" width="6.08984375" bestFit="1" customWidth="1"/>
    <col min="19" max="19" width="12.26953125" bestFit="1" customWidth="1"/>
    <col min="21" max="21" width="8.90625" customWidth="1"/>
  </cols>
  <sheetData>
    <row r="1" spans="1:21" ht="23.5" x14ac:dyDescent="0.55000000000000004">
      <c r="A1" s="118" t="s">
        <v>223</v>
      </c>
      <c r="B1" s="118"/>
      <c r="C1" s="118"/>
      <c r="D1" s="118"/>
      <c r="E1" s="118"/>
      <c r="F1" s="118"/>
      <c r="G1" s="118"/>
      <c r="H1" s="118" t="s">
        <v>348</v>
      </c>
      <c r="I1" s="118"/>
      <c r="J1" s="118"/>
      <c r="K1" s="118"/>
      <c r="L1" s="118"/>
      <c r="M1" s="118"/>
      <c r="N1" s="118"/>
      <c r="P1" t="s">
        <v>409</v>
      </c>
      <c r="Q1" s="114" t="s">
        <v>479</v>
      </c>
      <c r="R1">
        <v>2.75</v>
      </c>
      <c r="S1" s="113" t="s">
        <v>480</v>
      </c>
      <c r="T1">
        <v>3.25</v>
      </c>
    </row>
    <row r="3" spans="1:21" ht="15.5" x14ac:dyDescent="0.35">
      <c r="B3" s="119" t="s">
        <v>339</v>
      </c>
      <c r="C3" s="120"/>
      <c r="D3" s="121"/>
      <c r="E3" s="122" t="s">
        <v>7</v>
      </c>
      <c r="F3" s="123"/>
      <c r="G3" s="30">
        <f>SUM(G7:G20)</f>
        <v>2.5924831308205034</v>
      </c>
      <c r="I3" s="119" t="s">
        <v>347</v>
      </c>
      <c r="J3" s="120"/>
      <c r="K3" s="121"/>
      <c r="L3" s="122" t="s">
        <v>7</v>
      </c>
      <c r="M3" s="123"/>
      <c r="N3" s="30">
        <f>SUM(N7:N20)</f>
        <v>2.6294762358547747</v>
      </c>
      <c r="P3" s="119" t="s">
        <v>321</v>
      </c>
      <c r="Q3" s="120"/>
      <c r="R3" s="120"/>
      <c r="S3" s="120"/>
      <c r="T3" s="120"/>
      <c r="U3" s="121"/>
    </row>
    <row r="4" spans="1:21" x14ac:dyDescent="0.35">
      <c r="B4" s="9"/>
      <c r="G4" s="8"/>
      <c r="I4" s="9"/>
      <c r="N4" s="8"/>
      <c r="P4" s="9"/>
      <c r="U4" s="8"/>
    </row>
    <row r="5" spans="1:21" x14ac:dyDescent="0.35">
      <c r="B5" s="10"/>
      <c r="C5" s="124" t="s">
        <v>13</v>
      </c>
      <c r="D5" s="125"/>
      <c r="E5" s="124" t="s">
        <v>14</v>
      </c>
      <c r="F5" s="125"/>
      <c r="G5" s="5" t="s">
        <v>6</v>
      </c>
      <c r="I5" s="10"/>
      <c r="J5" s="124" t="s">
        <v>13</v>
      </c>
      <c r="K5" s="125"/>
      <c r="L5" s="124" t="s">
        <v>14</v>
      </c>
      <c r="M5" s="125"/>
      <c r="N5" s="5" t="s">
        <v>6</v>
      </c>
      <c r="P5" s="10"/>
      <c r="Q5" s="124" t="s">
        <v>13</v>
      </c>
      <c r="R5" s="125"/>
      <c r="S5" s="124" t="s">
        <v>14</v>
      </c>
      <c r="T5" s="125"/>
      <c r="U5" s="89" t="s">
        <v>6</v>
      </c>
    </row>
    <row r="6" spans="1:21" x14ac:dyDescent="0.35">
      <c r="B6" s="5" t="s">
        <v>10</v>
      </c>
      <c r="C6" s="5" t="s">
        <v>2</v>
      </c>
      <c r="D6" s="5" t="s">
        <v>1</v>
      </c>
      <c r="E6" s="5" t="s">
        <v>11</v>
      </c>
      <c r="F6" s="5" t="s">
        <v>1</v>
      </c>
      <c r="G6" s="5" t="s">
        <v>15</v>
      </c>
      <c r="I6" s="5" t="s">
        <v>10</v>
      </c>
      <c r="J6" s="5" t="s">
        <v>2</v>
      </c>
      <c r="K6" s="5" t="s">
        <v>1</v>
      </c>
      <c r="L6" s="5" t="s">
        <v>11</v>
      </c>
      <c r="M6" s="5" t="s">
        <v>1</v>
      </c>
      <c r="N6" s="5" t="s">
        <v>15</v>
      </c>
      <c r="P6" s="5" t="s">
        <v>322</v>
      </c>
      <c r="Q6" s="5" t="s">
        <v>2</v>
      </c>
      <c r="R6" s="5" t="s">
        <v>1</v>
      </c>
      <c r="S6" s="5" t="s">
        <v>11</v>
      </c>
      <c r="T6" s="5" t="s">
        <v>1</v>
      </c>
      <c r="U6" s="89" t="s">
        <v>15</v>
      </c>
    </row>
    <row r="7" spans="1:21" x14ac:dyDescent="0.35">
      <c r="B7" s="7" t="s">
        <v>340</v>
      </c>
      <c r="C7" s="7">
        <f>22/3</f>
        <v>7.333333333333333</v>
      </c>
      <c r="D7" s="7" t="s">
        <v>17</v>
      </c>
      <c r="E7" s="5">
        <f>Recipes!N19</f>
        <v>3.3574516898448738E-2</v>
      </c>
      <c r="F7" s="5" t="str">
        <f>D7</f>
        <v>Oz</v>
      </c>
      <c r="G7" s="5">
        <f>C7*E7</f>
        <v>0.24621312392195741</v>
      </c>
      <c r="I7" s="7" t="s">
        <v>251</v>
      </c>
      <c r="J7" s="7">
        <v>1</v>
      </c>
      <c r="K7" s="7" t="s">
        <v>251</v>
      </c>
      <c r="L7" s="5">
        <f>MAX(U18:U20)</f>
        <v>0.33333333333333331</v>
      </c>
      <c r="M7" s="5" t="str">
        <f>K7</f>
        <v>Wrap</v>
      </c>
      <c r="N7" s="5">
        <f>J7*L7</f>
        <v>0.33333333333333331</v>
      </c>
      <c r="P7" s="7" t="s">
        <v>88</v>
      </c>
      <c r="Q7" s="7">
        <v>1.375</v>
      </c>
      <c r="R7" s="7" t="s">
        <v>17</v>
      </c>
      <c r="S7" s="5">
        <f>'Food Prices'!L64</f>
        <v>0.16826923076923078</v>
      </c>
      <c r="T7" s="5" t="str">
        <f>R7</f>
        <v>Oz</v>
      </c>
      <c r="U7" s="89">
        <f>Q7*S7</f>
        <v>0.23137019230769232</v>
      </c>
    </row>
    <row r="8" spans="1:21" x14ac:dyDescent="0.35">
      <c r="B8" s="7" t="s">
        <v>94</v>
      </c>
      <c r="C8" s="7">
        <v>4</v>
      </c>
      <c r="D8" s="7" t="s">
        <v>128</v>
      </c>
      <c r="E8" s="5">
        <f>U8</f>
        <v>0.11081654294803818</v>
      </c>
      <c r="F8" s="5" t="str">
        <f t="shared" ref="F8:F18" si="0">D8</f>
        <v>Slice</v>
      </c>
      <c r="G8" s="5">
        <f t="shared" ref="G8:G18" si="1">C8*E8</f>
        <v>0.44326617179215272</v>
      </c>
      <c r="I8" s="7" t="s">
        <v>94</v>
      </c>
      <c r="J8" s="7">
        <v>4</v>
      </c>
      <c r="K8" s="7" t="s">
        <v>128</v>
      </c>
      <c r="L8" s="5">
        <f>U8</f>
        <v>0.11081654294803818</v>
      </c>
      <c r="M8" s="5" t="str">
        <f t="shared" ref="M8:M18" si="2">K8</f>
        <v>Slice</v>
      </c>
      <c r="N8" s="5">
        <f t="shared" ref="N8:N18" si="3">J8*L8</f>
        <v>0.44326617179215272</v>
      </c>
      <c r="P8" s="7" t="s">
        <v>94</v>
      </c>
      <c r="Q8" s="7">
        <v>0.44</v>
      </c>
      <c r="R8" s="7" t="s">
        <v>17</v>
      </c>
      <c r="S8" s="5">
        <f>'Food Prices'!L66</f>
        <v>0.25185577942735948</v>
      </c>
      <c r="T8" s="5" t="str">
        <f t="shared" ref="T8:T12" si="4">R8</f>
        <v>Oz</v>
      </c>
      <c r="U8" s="89">
        <f t="shared" ref="U8:U12" si="5">Q8*S8</f>
        <v>0.11081654294803818</v>
      </c>
    </row>
    <row r="9" spans="1:21" x14ac:dyDescent="0.35">
      <c r="B9" s="7" t="s">
        <v>88</v>
      </c>
      <c r="C9" s="7">
        <v>3</v>
      </c>
      <c r="D9" s="7" t="s">
        <v>128</v>
      </c>
      <c r="E9" s="5">
        <f>U7</f>
        <v>0.23137019230769232</v>
      </c>
      <c r="F9" s="5" t="str">
        <f t="shared" si="0"/>
        <v>Slice</v>
      </c>
      <c r="G9" s="5">
        <f t="shared" si="1"/>
        <v>0.69411057692307698</v>
      </c>
      <c r="I9" s="7" t="s">
        <v>88</v>
      </c>
      <c r="J9" s="7">
        <v>3</v>
      </c>
      <c r="K9" s="7" t="s">
        <v>128</v>
      </c>
      <c r="L9" s="5">
        <f>U7</f>
        <v>0.23137019230769232</v>
      </c>
      <c r="M9" s="5" t="str">
        <f t="shared" si="2"/>
        <v>Slice</v>
      </c>
      <c r="N9" s="5">
        <f t="shared" si="3"/>
        <v>0.69411057692307698</v>
      </c>
      <c r="P9" s="7" t="s">
        <v>235</v>
      </c>
      <c r="Q9" s="7">
        <v>0.875</v>
      </c>
      <c r="R9" s="7" t="s">
        <v>17</v>
      </c>
      <c r="S9" s="5">
        <f>'Food Prices'!L71</f>
        <v>0.19562499999999999</v>
      </c>
      <c r="T9" s="5" t="str">
        <f t="shared" si="4"/>
        <v>Oz</v>
      </c>
      <c r="U9" s="89">
        <f t="shared" si="5"/>
        <v>0.171171875</v>
      </c>
    </row>
    <row r="10" spans="1:21" x14ac:dyDescent="0.35">
      <c r="B10" s="7" t="s">
        <v>341</v>
      </c>
      <c r="C10" s="7">
        <v>3</v>
      </c>
      <c r="D10" s="7" t="s">
        <v>128</v>
      </c>
      <c r="E10" s="5">
        <f>U11</f>
        <v>0.12515625</v>
      </c>
      <c r="F10" s="5" t="str">
        <f t="shared" si="0"/>
        <v>Slice</v>
      </c>
      <c r="G10" s="5">
        <f t="shared" si="1"/>
        <v>0.37546875000000002</v>
      </c>
      <c r="I10" s="7" t="s">
        <v>341</v>
      </c>
      <c r="J10" s="7">
        <v>3</v>
      </c>
      <c r="K10" s="7" t="s">
        <v>128</v>
      </c>
      <c r="L10" s="5">
        <f>U11</f>
        <v>0.12515625</v>
      </c>
      <c r="M10" s="5" t="str">
        <f t="shared" si="2"/>
        <v>Slice</v>
      </c>
      <c r="N10" s="5">
        <f t="shared" si="3"/>
        <v>0.37546875000000002</v>
      </c>
      <c r="P10" s="7" t="s">
        <v>244</v>
      </c>
      <c r="Q10" s="7">
        <v>0.625</v>
      </c>
      <c r="R10" s="7" t="s">
        <v>17</v>
      </c>
      <c r="S10" s="5">
        <f>'Food Prices'!L58</f>
        <v>0.25415426587301587</v>
      </c>
      <c r="T10" s="5" t="str">
        <f t="shared" si="4"/>
        <v>Oz</v>
      </c>
      <c r="U10" s="89">
        <f t="shared" si="5"/>
        <v>0.15884641617063491</v>
      </c>
    </row>
    <row r="11" spans="1:21" x14ac:dyDescent="0.35">
      <c r="B11" s="7" t="s">
        <v>276</v>
      </c>
      <c r="C11" s="7">
        <v>1</v>
      </c>
      <c r="D11" s="7" t="s">
        <v>17</v>
      </c>
      <c r="E11" s="5">
        <f>'Food Prices'!L37</f>
        <v>4.9785156249999997E-2</v>
      </c>
      <c r="F11" s="5" t="str">
        <f t="shared" si="0"/>
        <v>Oz</v>
      </c>
      <c r="G11" s="5">
        <f t="shared" si="1"/>
        <v>4.9785156249999997E-2</v>
      </c>
      <c r="I11" s="7" t="s">
        <v>276</v>
      </c>
      <c r="J11" s="7">
        <v>1</v>
      </c>
      <c r="K11" s="7" t="s">
        <v>17</v>
      </c>
      <c r="L11" s="5">
        <f>E11</f>
        <v>4.9785156249999997E-2</v>
      </c>
      <c r="M11" s="5" t="str">
        <f t="shared" si="2"/>
        <v>Oz</v>
      </c>
      <c r="N11" s="5">
        <f t="shared" si="3"/>
        <v>4.9785156249999997E-2</v>
      </c>
      <c r="P11" s="7" t="s">
        <v>239</v>
      </c>
      <c r="Q11" s="7">
        <v>0.75</v>
      </c>
      <c r="R11" s="7" t="s">
        <v>17</v>
      </c>
      <c r="S11" s="5">
        <f>'Food Prices'!L24</f>
        <v>0.166875</v>
      </c>
      <c r="T11" s="5" t="str">
        <f t="shared" si="4"/>
        <v>Oz</v>
      </c>
      <c r="U11" s="89">
        <f t="shared" si="5"/>
        <v>0.12515625</v>
      </c>
    </row>
    <row r="12" spans="1:21" x14ac:dyDescent="0.35">
      <c r="B12" s="7" t="s">
        <v>344</v>
      </c>
      <c r="C12" s="7">
        <v>1</v>
      </c>
      <c r="D12" s="7" t="s">
        <v>17</v>
      </c>
      <c r="E12" s="5">
        <f>'Food Prices'!L81</f>
        <v>0.15319098598213757</v>
      </c>
      <c r="F12" s="5" t="str">
        <f t="shared" si="0"/>
        <v>Oz</v>
      </c>
      <c r="G12" s="5">
        <f t="shared" si="1"/>
        <v>0.15319098598213757</v>
      </c>
      <c r="I12" s="7" t="s">
        <v>344</v>
      </c>
      <c r="J12" s="7">
        <v>1</v>
      </c>
      <c r="K12" s="7" t="s">
        <v>17</v>
      </c>
      <c r="L12" s="5">
        <f t="shared" ref="L12:L20" si="6">E12</f>
        <v>0.15319098598213757</v>
      </c>
      <c r="M12" s="5" t="str">
        <f t="shared" si="2"/>
        <v>Oz</v>
      </c>
      <c r="N12" s="5">
        <f t="shared" si="3"/>
        <v>0.15319098598213757</v>
      </c>
      <c r="P12" s="7" t="s">
        <v>240</v>
      </c>
      <c r="Q12" s="7">
        <v>0.67</v>
      </c>
      <c r="R12" s="7" t="s">
        <v>17</v>
      </c>
      <c r="S12" s="5">
        <f>'Food Prices'!L17</f>
        <v>0.15625</v>
      </c>
      <c r="T12" s="5" t="str">
        <f t="shared" si="4"/>
        <v>Oz</v>
      </c>
      <c r="U12" s="89">
        <f t="shared" si="5"/>
        <v>0.1046875</v>
      </c>
    </row>
    <row r="13" spans="1:21" x14ac:dyDescent="0.35">
      <c r="B13" s="7" t="s">
        <v>345</v>
      </c>
      <c r="C13" s="7">
        <v>1</v>
      </c>
      <c r="D13" s="7" t="s">
        <v>17</v>
      </c>
      <c r="E13" s="5">
        <f>'Food Prices'!L80</f>
        <v>1.85546875E-2</v>
      </c>
      <c r="F13" s="5" t="str">
        <f t="shared" si="0"/>
        <v>Oz</v>
      </c>
      <c r="G13" s="5">
        <f t="shared" si="1"/>
        <v>1.85546875E-2</v>
      </c>
      <c r="I13" s="7" t="s">
        <v>345</v>
      </c>
      <c r="J13" s="7">
        <v>1</v>
      </c>
      <c r="K13" s="7" t="s">
        <v>17</v>
      </c>
      <c r="L13" s="5">
        <f t="shared" si="6"/>
        <v>1.85546875E-2</v>
      </c>
      <c r="M13" s="5" t="str">
        <f t="shared" si="2"/>
        <v>Oz</v>
      </c>
      <c r="N13" s="5">
        <f t="shared" si="3"/>
        <v>1.85546875E-2</v>
      </c>
    </row>
    <row r="14" spans="1:21" ht="15.5" x14ac:dyDescent="0.35">
      <c r="B14" s="7" t="s">
        <v>257</v>
      </c>
      <c r="C14" s="7">
        <v>6.0000000000000001E-3</v>
      </c>
      <c r="D14" s="7" t="s">
        <v>17</v>
      </c>
      <c r="E14" s="5">
        <f>'Food Prices'!J116</f>
        <v>1.2116666666666667</v>
      </c>
      <c r="F14" s="5" t="str">
        <f t="shared" si="0"/>
        <v>Oz</v>
      </c>
      <c r="G14" s="5">
        <f t="shared" si="1"/>
        <v>7.2700000000000004E-3</v>
      </c>
      <c r="I14" s="7" t="s">
        <v>257</v>
      </c>
      <c r="J14" s="7">
        <v>6.0000000000000001E-3</v>
      </c>
      <c r="K14" s="7" t="s">
        <v>17</v>
      </c>
      <c r="L14" s="5">
        <f t="shared" si="6"/>
        <v>1.2116666666666667</v>
      </c>
      <c r="M14" s="5" t="str">
        <f t="shared" si="2"/>
        <v>Oz</v>
      </c>
      <c r="N14" s="5">
        <f t="shared" si="3"/>
        <v>7.2700000000000004E-3</v>
      </c>
      <c r="P14" s="119" t="s">
        <v>349</v>
      </c>
      <c r="Q14" s="120"/>
      <c r="R14" s="120"/>
      <c r="S14" s="120"/>
      <c r="T14" s="120"/>
      <c r="U14" s="121"/>
    </row>
    <row r="15" spans="1:21" x14ac:dyDescent="0.35">
      <c r="B15" s="7" t="s">
        <v>232</v>
      </c>
      <c r="C15" s="7">
        <f>T1*5/9</f>
        <v>1.8055555555555556</v>
      </c>
      <c r="D15" s="7" t="s">
        <v>17</v>
      </c>
      <c r="E15" s="5">
        <f>'Food Prices'!L91</f>
        <v>7.2727272727272724E-2</v>
      </c>
      <c r="F15" s="5" t="str">
        <f t="shared" si="0"/>
        <v>Oz</v>
      </c>
      <c r="G15" s="5">
        <f t="shared" si="1"/>
        <v>0.1313131313131313</v>
      </c>
      <c r="I15" s="7" t="s">
        <v>232</v>
      </c>
      <c r="J15" s="7">
        <f>R1*5/9</f>
        <v>1.5277777777777777</v>
      </c>
      <c r="K15" s="7" t="s">
        <v>17</v>
      </c>
      <c r="L15" s="5">
        <f t="shared" si="6"/>
        <v>7.2727272727272724E-2</v>
      </c>
      <c r="M15" s="5" t="str">
        <f t="shared" si="2"/>
        <v>Oz</v>
      </c>
      <c r="N15" s="5">
        <f t="shared" si="3"/>
        <v>0.1111111111111111</v>
      </c>
      <c r="P15" s="9"/>
      <c r="U15" s="8"/>
    </row>
    <row r="16" spans="1:21" x14ac:dyDescent="0.35">
      <c r="B16" s="7" t="s">
        <v>233</v>
      </c>
      <c r="C16" s="7">
        <f>T1*4/9</f>
        <v>1.4444444444444444</v>
      </c>
      <c r="D16" s="7" t="s">
        <v>17</v>
      </c>
      <c r="E16" s="5">
        <f>'Food Prices'!L86</f>
        <v>9.7537878787878798E-2</v>
      </c>
      <c r="F16" s="5" t="str">
        <f t="shared" si="0"/>
        <v>Oz</v>
      </c>
      <c r="G16" s="5">
        <f t="shared" si="1"/>
        <v>0.14088804713804715</v>
      </c>
      <c r="I16" s="7" t="s">
        <v>233</v>
      </c>
      <c r="J16" s="7">
        <f>R1*4/9</f>
        <v>1.2222222222222223</v>
      </c>
      <c r="K16" s="7" t="s">
        <v>17</v>
      </c>
      <c r="L16" s="5">
        <f t="shared" si="6"/>
        <v>9.7537878787878798E-2</v>
      </c>
      <c r="M16" s="5" t="str">
        <f t="shared" si="2"/>
        <v>Oz</v>
      </c>
      <c r="N16" s="5">
        <f t="shared" si="3"/>
        <v>0.11921296296296298</v>
      </c>
      <c r="P16" s="10"/>
      <c r="Q16" s="124" t="s">
        <v>13</v>
      </c>
      <c r="R16" s="125"/>
      <c r="S16" s="124" t="s">
        <v>14</v>
      </c>
      <c r="T16" s="125"/>
      <c r="U16" s="89" t="s">
        <v>6</v>
      </c>
    </row>
    <row r="17" spans="2:21" x14ac:dyDescent="0.35">
      <c r="B17" s="7" t="s">
        <v>92</v>
      </c>
      <c r="C17" s="7">
        <v>1.125</v>
      </c>
      <c r="D17" s="87" t="s">
        <v>17</v>
      </c>
      <c r="E17" s="5">
        <f>'Food Prices'!L88</f>
        <v>2.75E-2</v>
      </c>
      <c r="F17" s="88" t="str">
        <f t="shared" si="0"/>
        <v>Oz</v>
      </c>
      <c r="G17" s="5">
        <f t="shared" si="1"/>
        <v>3.09375E-2</v>
      </c>
      <c r="I17" s="7" t="s">
        <v>92</v>
      </c>
      <c r="J17" s="7">
        <v>0.82499999999999996</v>
      </c>
      <c r="K17" s="87" t="s">
        <v>17</v>
      </c>
      <c r="L17" s="5">
        <f t="shared" si="6"/>
        <v>2.75E-2</v>
      </c>
      <c r="M17" s="88" t="str">
        <f t="shared" si="2"/>
        <v>Oz</v>
      </c>
      <c r="N17" s="5">
        <f t="shared" si="3"/>
        <v>2.2687499999999999E-2</v>
      </c>
      <c r="P17" s="5"/>
      <c r="Q17" s="5" t="s">
        <v>2</v>
      </c>
      <c r="R17" s="5" t="s">
        <v>1</v>
      </c>
      <c r="S17" s="5" t="s">
        <v>11</v>
      </c>
      <c r="T17" s="5" t="s">
        <v>1</v>
      </c>
      <c r="U17" s="89" t="s">
        <v>15</v>
      </c>
    </row>
    <row r="18" spans="2:21" x14ac:dyDescent="0.35">
      <c r="B18" s="7" t="s">
        <v>342</v>
      </c>
      <c r="C18" s="7">
        <v>2.625</v>
      </c>
      <c r="D18" s="7" t="s">
        <v>17</v>
      </c>
      <c r="E18" s="5">
        <f>'Food Prices'!L92</f>
        <v>0.1</v>
      </c>
      <c r="F18" s="5" t="str">
        <f t="shared" si="0"/>
        <v>Oz</v>
      </c>
      <c r="G18" s="5">
        <f t="shared" si="1"/>
        <v>0.26250000000000001</v>
      </c>
      <c r="I18" s="7" t="s">
        <v>342</v>
      </c>
      <c r="J18" s="7">
        <v>2.625</v>
      </c>
      <c r="K18" s="7" t="s">
        <v>17</v>
      </c>
      <c r="L18" s="5">
        <f t="shared" si="6"/>
        <v>0.1</v>
      </c>
      <c r="M18" s="5" t="str">
        <f t="shared" si="2"/>
        <v>Oz</v>
      </c>
      <c r="N18" s="5">
        <f t="shared" si="3"/>
        <v>0.26250000000000001</v>
      </c>
      <c r="P18" s="7" t="s">
        <v>247</v>
      </c>
      <c r="Q18" s="7">
        <v>1</v>
      </c>
      <c r="R18" s="7" t="s">
        <v>292</v>
      </c>
      <c r="S18" s="5">
        <f>'Food Prices'!L123</f>
        <v>0.33333333333333331</v>
      </c>
      <c r="T18" s="5" t="str">
        <f>R18</f>
        <v>Count</v>
      </c>
      <c r="U18" s="89">
        <f>Q18*S18</f>
        <v>0.33333333333333331</v>
      </c>
    </row>
    <row r="19" spans="2:21" x14ac:dyDescent="0.35">
      <c r="B19" s="7" t="s">
        <v>302</v>
      </c>
      <c r="C19" s="7">
        <v>18</v>
      </c>
      <c r="D19" s="7" t="s">
        <v>346</v>
      </c>
      <c r="E19" s="5">
        <f>'Paper Product Prices'!H27</f>
        <v>2.1658333333333334E-3</v>
      </c>
      <c r="F19" s="5" t="str">
        <f>D19</f>
        <v>Inch</v>
      </c>
      <c r="G19" s="5">
        <f>C19*E19</f>
        <v>3.8984999999999999E-2</v>
      </c>
      <c r="I19" s="7" t="s">
        <v>302</v>
      </c>
      <c r="J19" s="7">
        <v>18</v>
      </c>
      <c r="K19" s="7" t="s">
        <v>346</v>
      </c>
      <c r="L19" s="5">
        <f t="shared" si="6"/>
        <v>2.1658333333333334E-3</v>
      </c>
      <c r="M19" s="5" t="str">
        <f>K19</f>
        <v>Inch</v>
      </c>
      <c r="N19" s="5">
        <f>J19*L19</f>
        <v>3.8984999999999999E-2</v>
      </c>
      <c r="P19" s="7" t="s">
        <v>248</v>
      </c>
      <c r="Q19" s="7">
        <v>1</v>
      </c>
      <c r="R19" s="7" t="s">
        <v>292</v>
      </c>
      <c r="S19" s="5">
        <f>'Food Prices'!L122</f>
        <v>0.33333333333333331</v>
      </c>
      <c r="T19" s="5" t="str">
        <f t="shared" ref="T19:T21" si="7">R19</f>
        <v>Count</v>
      </c>
      <c r="U19" s="89">
        <f t="shared" ref="U19:U21" si="8">Q19*S19</f>
        <v>0.33333333333333331</v>
      </c>
    </row>
    <row r="20" spans="2:21" x14ac:dyDescent="0.35">
      <c r="B20" s="7" t="s">
        <v>343</v>
      </c>
      <c r="C20" s="7">
        <v>1</v>
      </c>
      <c r="D20" s="7" t="s">
        <v>292</v>
      </c>
      <c r="E20" s="5">
        <f>'Paper Product Prices'!H4</f>
        <v>0</v>
      </c>
      <c r="F20" s="5" t="str">
        <f>D20</f>
        <v>Count</v>
      </c>
      <c r="G20" s="5">
        <f>C20*E20</f>
        <v>0</v>
      </c>
      <c r="I20" s="7" t="s">
        <v>343</v>
      </c>
      <c r="J20" s="7">
        <v>1</v>
      </c>
      <c r="K20" s="7" t="s">
        <v>292</v>
      </c>
      <c r="L20" s="5">
        <f t="shared" si="6"/>
        <v>0</v>
      </c>
      <c r="M20" s="5" t="str">
        <f>K20</f>
        <v>Count</v>
      </c>
      <c r="N20" s="5">
        <f>J20*L20</f>
        <v>0</v>
      </c>
      <c r="P20" s="7" t="s">
        <v>249</v>
      </c>
      <c r="Q20" s="7">
        <v>1</v>
      </c>
      <c r="R20" s="7" t="s">
        <v>292</v>
      </c>
      <c r="S20" s="5">
        <f>'Food Prices'!L121</f>
        <v>0.33333333333333331</v>
      </c>
      <c r="T20" s="5" t="str">
        <f t="shared" si="7"/>
        <v>Count</v>
      </c>
      <c r="U20" s="89">
        <f t="shared" si="8"/>
        <v>0.33333333333333331</v>
      </c>
    </row>
    <row r="21" spans="2:21" x14ac:dyDescent="0.35">
      <c r="P21" s="7" t="s">
        <v>250</v>
      </c>
      <c r="Q21" s="7">
        <v>1</v>
      </c>
      <c r="R21" s="7" t="s">
        <v>292</v>
      </c>
      <c r="S21" s="5">
        <f>'Food Prices'!L53</f>
        <v>0.69444444444444453</v>
      </c>
      <c r="T21" s="5" t="str">
        <f t="shared" si="7"/>
        <v>Count</v>
      </c>
      <c r="U21" s="89">
        <f t="shared" si="8"/>
        <v>0.69444444444444453</v>
      </c>
    </row>
    <row r="22" spans="2:21" ht="15.5" x14ac:dyDescent="0.35">
      <c r="B22" s="119" t="s">
        <v>351</v>
      </c>
      <c r="C22" s="120"/>
      <c r="D22" s="121"/>
      <c r="E22" s="122" t="s">
        <v>7</v>
      </c>
      <c r="F22" s="123"/>
      <c r="G22" s="30">
        <f>SUM(G26:G40)</f>
        <v>2.6627325840283507</v>
      </c>
      <c r="I22" s="119" t="s">
        <v>350</v>
      </c>
      <c r="J22" s="120"/>
      <c r="K22" s="121"/>
      <c r="L22" s="122" t="s">
        <v>7</v>
      </c>
      <c r="M22" s="123"/>
      <c r="N22" s="30">
        <f>SUM(N26:N40)</f>
        <v>2.699725689062622</v>
      </c>
    </row>
    <row r="23" spans="2:21" x14ac:dyDescent="0.35">
      <c r="B23" s="9"/>
      <c r="G23" s="8"/>
      <c r="I23" s="9"/>
      <c r="N23" s="8"/>
    </row>
    <row r="24" spans="2:21" x14ac:dyDescent="0.35">
      <c r="B24" s="10"/>
      <c r="C24" s="124" t="s">
        <v>13</v>
      </c>
      <c r="D24" s="125"/>
      <c r="E24" s="124" t="s">
        <v>14</v>
      </c>
      <c r="F24" s="125"/>
      <c r="G24" s="5" t="s">
        <v>6</v>
      </c>
      <c r="I24" s="10"/>
      <c r="J24" s="124" t="s">
        <v>13</v>
      </c>
      <c r="K24" s="125"/>
      <c r="L24" s="124" t="s">
        <v>14</v>
      </c>
      <c r="M24" s="125"/>
      <c r="N24" s="5" t="s">
        <v>6</v>
      </c>
      <c r="P24" s="118" t="s">
        <v>367</v>
      </c>
      <c r="Q24" s="118"/>
      <c r="R24" s="118"/>
      <c r="S24" s="118"/>
      <c r="T24" s="118"/>
      <c r="U24" s="118"/>
    </row>
    <row r="25" spans="2:21" x14ac:dyDescent="0.35">
      <c r="B25" s="5" t="s">
        <v>10</v>
      </c>
      <c r="C25" s="5" t="s">
        <v>2</v>
      </c>
      <c r="D25" s="5" t="s">
        <v>1</v>
      </c>
      <c r="E25" s="5" t="s">
        <v>11</v>
      </c>
      <c r="F25" s="5" t="s">
        <v>1</v>
      </c>
      <c r="G25" s="5" t="s">
        <v>15</v>
      </c>
      <c r="I25" s="5" t="s">
        <v>10</v>
      </c>
      <c r="J25" s="5" t="s">
        <v>2</v>
      </c>
      <c r="K25" s="5" t="s">
        <v>1</v>
      </c>
      <c r="L25" s="5" t="s">
        <v>11</v>
      </c>
      <c r="M25" s="5" t="s">
        <v>1</v>
      </c>
      <c r="N25" s="5" t="s">
        <v>15</v>
      </c>
      <c r="P25" s="118"/>
      <c r="Q25" s="118"/>
      <c r="R25" s="118"/>
      <c r="S25" s="118"/>
      <c r="T25" s="118"/>
      <c r="U25" s="118"/>
    </row>
    <row r="26" spans="2:21" x14ac:dyDescent="0.35">
      <c r="B26" s="7" t="s">
        <v>340</v>
      </c>
      <c r="C26" s="7">
        <f>22/3</f>
        <v>7.333333333333333</v>
      </c>
      <c r="D26" s="7" t="s">
        <v>17</v>
      </c>
      <c r="E26" s="5">
        <f>E7</f>
        <v>3.3574516898448738E-2</v>
      </c>
      <c r="F26" s="5" t="str">
        <f>D26</f>
        <v>Oz</v>
      </c>
      <c r="G26" s="5">
        <f>C26*E26</f>
        <v>0.24621312392195741</v>
      </c>
      <c r="I26" s="7" t="s">
        <v>251</v>
      </c>
      <c r="J26" s="7">
        <v>1</v>
      </c>
      <c r="K26" s="7" t="s">
        <v>251</v>
      </c>
      <c r="L26" s="5">
        <f>L7</f>
        <v>0.33333333333333331</v>
      </c>
      <c r="M26" s="5" t="str">
        <f>K26</f>
        <v>Wrap</v>
      </c>
      <c r="N26" s="5">
        <f>J26*L26</f>
        <v>0.33333333333333331</v>
      </c>
    </row>
    <row r="27" spans="2:21" ht="15.5" x14ac:dyDescent="0.35">
      <c r="B27" s="7" t="s">
        <v>235</v>
      </c>
      <c r="C27" s="7">
        <v>3</v>
      </c>
      <c r="D27" s="7" t="s">
        <v>128</v>
      </c>
      <c r="E27" s="5">
        <f>U9</f>
        <v>0.171171875</v>
      </c>
      <c r="F27" s="5" t="str">
        <f t="shared" ref="F27:F38" si="9">D27</f>
        <v>Slice</v>
      </c>
      <c r="G27" s="5">
        <f t="shared" ref="G27:G38" si="10">C27*E27</f>
        <v>0.51351562500000003</v>
      </c>
      <c r="I27" s="7" t="s">
        <v>235</v>
      </c>
      <c r="J27" s="7">
        <v>3</v>
      </c>
      <c r="K27" s="7" t="s">
        <v>128</v>
      </c>
      <c r="L27" s="5">
        <f>U9</f>
        <v>0.171171875</v>
      </c>
      <c r="M27" s="5" t="str">
        <f t="shared" ref="M27:M38" si="11">K27</f>
        <v>Slice</v>
      </c>
      <c r="N27" s="5">
        <f t="shared" ref="N27:N38" si="12">J27*L27</f>
        <v>0.51351562500000003</v>
      </c>
      <c r="P27" s="119" t="s">
        <v>368</v>
      </c>
      <c r="Q27" s="120"/>
      <c r="R27" s="121"/>
      <c r="S27" s="122" t="s">
        <v>7</v>
      </c>
      <c r="T27" s="123"/>
      <c r="U27" s="30">
        <f>SUM(U31:U40)</f>
        <v>1.9197879152199073</v>
      </c>
    </row>
    <row r="28" spans="2:21" x14ac:dyDescent="0.35">
      <c r="B28" s="7" t="s">
        <v>88</v>
      </c>
      <c r="C28" s="7">
        <v>3</v>
      </c>
      <c r="D28" s="7" t="s">
        <v>128</v>
      </c>
      <c r="E28" s="5">
        <f>U7</f>
        <v>0.23137019230769232</v>
      </c>
      <c r="F28" s="5" t="str">
        <f t="shared" si="9"/>
        <v>Slice</v>
      </c>
      <c r="G28" s="5">
        <f t="shared" si="10"/>
        <v>0.69411057692307698</v>
      </c>
      <c r="I28" s="7" t="s">
        <v>88</v>
      </c>
      <c r="J28" s="7">
        <v>3</v>
      </c>
      <c r="K28" s="7" t="s">
        <v>128</v>
      </c>
      <c r="L28" s="5">
        <f>U7</f>
        <v>0.23137019230769232</v>
      </c>
      <c r="M28" s="5" t="str">
        <f t="shared" si="11"/>
        <v>Slice</v>
      </c>
      <c r="N28" s="5">
        <f t="shared" si="12"/>
        <v>0.69411057692307698</v>
      </c>
      <c r="P28" s="9"/>
      <c r="U28" s="8"/>
    </row>
    <row r="29" spans="2:21" x14ac:dyDescent="0.35">
      <c r="B29" s="7" t="s">
        <v>28</v>
      </c>
      <c r="C29" s="7"/>
      <c r="D29" s="7" t="s">
        <v>17</v>
      </c>
      <c r="E29" s="5">
        <f>'Food Prices'!L56</f>
        <v>0.46875</v>
      </c>
      <c r="F29" s="5" t="str">
        <f t="shared" si="9"/>
        <v>Oz</v>
      </c>
      <c r="G29" s="5">
        <f t="shared" si="10"/>
        <v>0</v>
      </c>
      <c r="I29" s="7" t="s">
        <v>28</v>
      </c>
      <c r="J29" s="7">
        <f>C29</f>
        <v>0</v>
      </c>
      <c r="K29" s="7" t="s">
        <v>17</v>
      </c>
      <c r="L29" s="5">
        <f>E29</f>
        <v>0.46875</v>
      </c>
      <c r="M29" s="5" t="str">
        <f t="shared" si="11"/>
        <v>Oz</v>
      </c>
      <c r="N29" s="5">
        <f t="shared" si="12"/>
        <v>0</v>
      </c>
      <c r="P29" s="10"/>
      <c r="Q29" s="124" t="s">
        <v>13</v>
      </c>
      <c r="R29" s="125"/>
      <c r="S29" s="124" t="s">
        <v>14</v>
      </c>
      <c r="T29" s="125"/>
      <c r="U29" s="5" t="s">
        <v>6</v>
      </c>
    </row>
    <row r="30" spans="2:21" x14ac:dyDescent="0.35">
      <c r="B30" s="7" t="s">
        <v>341</v>
      </c>
      <c r="C30" s="7">
        <v>3</v>
      </c>
      <c r="D30" s="7" t="s">
        <v>128</v>
      </c>
      <c r="E30" s="5">
        <f>U11</f>
        <v>0.12515625</v>
      </c>
      <c r="F30" s="5" t="str">
        <f t="shared" si="9"/>
        <v>Slice</v>
      </c>
      <c r="G30" s="5">
        <f t="shared" si="10"/>
        <v>0.37546875000000002</v>
      </c>
      <c r="I30" s="7" t="s">
        <v>341</v>
      </c>
      <c r="J30" s="7">
        <v>3</v>
      </c>
      <c r="K30" s="7" t="s">
        <v>128</v>
      </c>
      <c r="L30" s="5">
        <f>U11</f>
        <v>0.12515625</v>
      </c>
      <c r="M30" s="5" t="str">
        <f t="shared" si="11"/>
        <v>Slice</v>
      </c>
      <c r="N30" s="5">
        <f t="shared" si="12"/>
        <v>0.37546875000000002</v>
      </c>
      <c r="P30" s="5" t="s">
        <v>10</v>
      </c>
      <c r="Q30" s="5" t="s">
        <v>2</v>
      </c>
      <c r="R30" s="5" t="s">
        <v>1</v>
      </c>
      <c r="S30" s="5" t="s">
        <v>11</v>
      </c>
      <c r="T30" s="5" t="s">
        <v>1</v>
      </c>
      <c r="U30" s="5" t="s">
        <v>15</v>
      </c>
    </row>
    <row r="31" spans="2:21" x14ac:dyDescent="0.35">
      <c r="B31" s="7" t="s">
        <v>276</v>
      </c>
      <c r="C31" s="7">
        <v>1</v>
      </c>
      <c r="D31" s="7" t="s">
        <v>17</v>
      </c>
      <c r="E31" s="5">
        <f>E11</f>
        <v>4.9785156249999997E-2</v>
      </c>
      <c r="F31" s="5" t="str">
        <f t="shared" si="9"/>
        <v>Oz</v>
      </c>
      <c r="G31" s="5">
        <f t="shared" si="10"/>
        <v>4.9785156249999997E-2</v>
      </c>
      <c r="I31" s="7" t="s">
        <v>276</v>
      </c>
      <c r="J31" s="7">
        <v>1</v>
      </c>
      <c r="K31" s="7" t="s">
        <v>17</v>
      </c>
      <c r="L31" s="5">
        <f>L11</f>
        <v>4.9785156249999997E-2</v>
      </c>
      <c r="M31" s="5" t="str">
        <f t="shared" si="11"/>
        <v>Oz</v>
      </c>
      <c r="N31" s="5">
        <f t="shared" si="12"/>
        <v>4.9785156249999997E-2</v>
      </c>
      <c r="P31" s="7" t="s">
        <v>251</v>
      </c>
      <c r="Q31" s="7">
        <v>1</v>
      </c>
      <c r="R31" s="7" t="s">
        <v>251</v>
      </c>
      <c r="S31" s="5">
        <f>L7</f>
        <v>0.33333333333333331</v>
      </c>
      <c r="T31" s="5" t="str">
        <f>R31</f>
        <v>Wrap</v>
      </c>
      <c r="U31" s="5">
        <f>Q31*S31</f>
        <v>0.33333333333333331</v>
      </c>
    </row>
    <row r="32" spans="2:21" x14ac:dyDescent="0.35">
      <c r="B32" s="7" t="s">
        <v>344</v>
      </c>
      <c r="C32" s="7">
        <f>C12</f>
        <v>1</v>
      </c>
      <c r="D32" s="7" t="s">
        <v>17</v>
      </c>
      <c r="E32" s="5">
        <f t="shared" ref="E32:E40" si="13">E12</f>
        <v>0.15319098598213757</v>
      </c>
      <c r="F32" s="5" t="str">
        <f t="shared" si="9"/>
        <v>Oz</v>
      </c>
      <c r="G32" s="5">
        <f t="shared" si="10"/>
        <v>0.15319098598213757</v>
      </c>
      <c r="I32" s="7" t="s">
        <v>344</v>
      </c>
      <c r="J32" s="7">
        <f>J12</f>
        <v>1</v>
      </c>
      <c r="K32" s="7" t="s">
        <v>17</v>
      </c>
      <c r="L32" s="5">
        <f t="shared" ref="L32:L40" si="14">L12</f>
        <v>0.15319098598213757</v>
      </c>
      <c r="M32" s="5" t="str">
        <f t="shared" si="11"/>
        <v>Oz</v>
      </c>
      <c r="N32" s="5">
        <f t="shared" si="12"/>
        <v>0.15319098598213757</v>
      </c>
      <c r="P32" s="7" t="s">
        <v>95</v>
      </c>
      <c r="Q32" s="7">
        <v>5.625</v>
      </c>
      <c r="R32" s="7" t="s">
        <v>17</v>
      </c>
      <c r="S32" s="5">
        <f>Salad!L23</f>
        <v>0.126546875</v>
      </c>
      <c r="T32" s="5" t="str">
        <f t="shared" ref="T32:T38" si="15">R32</f>
        <v>Oz</v>
      </c>
      <c r="U32" s="5">
        <f t="shared" ref="U32:U38" si="16">Q32*S32</f>
        <v>0.71182617187499997</v>
      </c>
    </row>
    <row r="33" spans="2:21" x14ac:dyDescent="0.35">
      <c r="B33" s="7" t="s">
        <v>345</v>
      </c>
      <c r="C33" s="7">
        <f t="shared" ref="C33:C39" si="17">C13</f>
        <v>1</v>
      </c>
      <c r="D33" s="7" t="s">
        <v>17</v>
      </c>
      <c r="E33" s="5">
        <f t="shared" si="13"/>
        <v>1.85546875E-2</v>
      </c>
      <c r="F33" s="5" t="str">
        <f t="shared" si="9"/>
        <v>Oz</v>
      </c>
      <c r="G33" s="5">
        <f t="shared" si="10"/>
        <v>1.85546875E-2</v>
      </c>
      <c r="I33" s="7" t="s">
        <v>345</v>
      </c>
      <c r="J33" s="7">
        <f t="shared" ref="J33:J39" si="18">J13</f>
        <v>1</v>
      </c>
      <c r="K33" s="7" t="s">
        <v>17</v>
      </c>
      <c r="L33" s="5">
        <f t="shared" si="14"/>
        <v>1.85546875E-2</v>
      </c>
      <c r="M33" s="5" t="str">
        <f t="shared" si="11"/>
        <v>Oz</v>
      </c>
      <c r="N33" s="5">
        <f t="shared" si="12"/>
        <v>1.85546875E-2</v>
      </c>
      <c r="P33" s="7" t="s">
        <v>161</v>
      </c>
      <c r="Q33" s="7">
        <v>1.25</v>
      </c>
      <c r="R33" s="7" t="s">
        <v>17</v>
      </c>
      <c r="S33" s="5">
        <f>Salad!L24</f>
        <v>0.10251953125</v>
      </c>
      <c r="T33" s="5" t="str">
        <f t="shared" si="15"/>
        <v>Oz</v>
      </c>
      <c r="U33" s="5">
        <f t="shared" si="16"/>
        <v>0.12814941406249999</v>
      </c>
    </row>
    <row r="34" spans="2:21" x14ac:dyDescent="0.35">
      <c r="B34" s="7" t="s">
        <v>257</v>
      </c>
      <c r="C34" s="7">
        <f t="shared" si="17"/>
        <v>6.0000000000000001E-3</v>
      </c>
      <c r="D34" s="7" t="str">
        <f>D14</f>
        <v>Oz</v>
      </c>
      <c r="E34" s="5">
        <f t="shared" si="13"/>
        <v>1.2116666666666667</v>
      </c>
      <c r="F34" s="5" t="str">
        <f t="shared" si="9"/>
        <v>Oz</v>
      </c>
      <c r="G34" s="5">
        <f t="shared" si="10"/>
        <v>7.2700000000000004E-3</v>
      </c>
      <c r="I34" s="7" t="s">
        <v>257</v>
      </c>
      <c r="J34" s="7">
        <f t="shared" si="18"/>
        <v>6.0000000000000001E-3</v>
      </c>
      <c r="K34" s="7" t="str">
        <f>K14</f>
        <v>Oz</v>
      </c>
      <c r="L34" s="5">
        <f t="shared" si="14"/>
        <v>1.2116666666666667</v>
      </c>
      <c r="M34" s="5" t="str">
        <f t="shared" si="11"/>
        <v>Oz</v>
      </c>
      <c r="N34" s="5">
        <f t="shared" si="12"/>
        <v>7.2700000000000004E-3</v>
      </c>
      <c r="P34" s="7" t="s">
        <v>49</v>
      </c>
      <c r="Q34" s="7">
        <v>1.5</v>
      </c>
      <c r="R34" s="7" t="s">
        <v>17</v>
      </c>
      <c r="S34" s="5">
        <f>'Food Prices'!L30</f>
        <v>0.12798828125</v>
      </c>
      <c r="T34" s="5" t="str">
        <f t="shared" si="15"/>
        <v>Oz</v>
      </c>
      <c r="U34" s="5">
        <f t="shared" si="16"/>
        <v>0.191982421875</v>
      </c>
    </row>
    <row r="35" spans="2:21" x14ac:dyDescent="0.35">
      <c r="B35" s="7" t="s">
        <v>232</v>
      </c>
      <c r="C35" s="7">
        <f t="shared" si="17"/>
        <v>1.8055555555555556</v>
      </c>
      <c r="D35" s="7" t="s">
        <v>17</v>
      </c>
      <c r="E35" s="5">
        <f t="shared" si="13"/>
        <v>7.2727272727272724E-2</v>
      </c>
      <c r="F35" s="5" t="str">
        <f t="shared" si="9"/>
        <v>Oz</v>
      </c>
      <c r="G35" s="5">
        <f t="shared" si="10"/>
        <v>0.1313131313131313</v>
      </c>
      <c r="I35" s="7" t="s">
        <v>232</v>
      </c>
      <c r="J35" s="7">
        <f t="shared" si="18"/>
        <v>1.5277777777777777</v>
      </c>
      <c r="K35" s="7" t="s">
        <v>17</v>
      </c>
      <c r="L35" s="5">
        <f t="shared" si="14"/>
        <v>7.2727272727272724E-2</v>
      </c>
      <c r="M35" s="5" t="str">
        <f t="shared" si="11"/>
        <v>Oz</v>
      </c>
      <c r="N35" s="5">
        <f t="shared" si="12"/>
        <v>0.1111111111111111</v>
      </c>
      <c r="P35" s="7" t="s">
        <v>232</v>
      </c>
      <c r="Q35" s="7">
        <f>J15</f>
        <v>1.5277777777777777</v>
      </c>
      <c r="R35" s="7" t="s">
        <v>17</v>
      </c>
      <c r="S35" s="5">
        <f>L15</f>
        <v>7.2727272727272724E-2</v>
      </c>
      <c r="T35" s="5" t="str">
        <f t="shared" si="15"/>
        <v>Oz</v>
      </c>
      <c r="U35" s="5">
        <f t="shared" si="16"/>
        <v>0.1111111111111111</v>
      </c>
    </row>
    <row r="36" spans="2:21" x14ac:dyDescent="0.35">
      <c r="B36" s="7" t="s">
        <v>233</v>
      </c>
      <c r="C36" s="7">
        <f t="shared" si="17"/>
        <v>1.4444444444444444</v>
      </c>
      <c r="D36" s="7" t="s">
        <v>17</v>
      </c>
      <c r="E36" s="5">
        <f t="shared" si="13"/>
        <v>9.7537878787878798E-2</v>
      </c>
      <c r="F36" s="5" t="str">
        <f t="shared" si="9"/>
        <v>Oz</v>
      </c>
      <c r="G36" s="5">
        <f t="shared" si="10"/>
        <v>0.14088804713804715</v>
      </c>
      <c r="I36" s="7" t="s">
        <v>233</v>
      </c>
      <c r="J36" s="7">
        <f t="shared" si="18"/>
        <v>1.2222222222222223</v>
      </c>
      <c r="K36" s="7" t="s">
        <v>17</v>
      </c>
      <c r="L36" s="5">
        <f t="shared" si="14"/>
        <v>9.7537878787878798E-2</v>
      </c>
      <c r="M36" s="5" t="str">
        <f t="shared" si="11"/>
        <v>Oz</v>
      </c>
      <c r="N36" s="5">
        <f t="shared" si="12"/>
        <v>0.11921296296296298</v>
      </c>
      <c r="P36" s="7" t="s">
        <v>233</v>
      </c>
      <c r="Q36" s="7">
        <f t="shared" ref="Q36:Q39" si="19">J16</f>
        <v>1.2222222222222223</v>
      </c>
      <c r="R36" s="7" t="s">
        <v>17</v>
      </c>
      <c r="S36" s="5">
        <f t="shared" ref="S36:S40" si="20">L16</f>
        <v>9.7537878787878798E-2</v>
      </c>
      <c r="T36" s="5" t="str">
        <f t="shared" si="15"/>
        <v>Oz</v>
      </c>
      <c r="U36" s="5">
        <f t="shared" si="16"/>
        <v>0.11921296296296298</v>
      </c>
    </row>
    <row r="37" spans="2:21" x14ac:dyDescent="0.35">
      <c r="B37" s="7" t="s">
        <v>92</v>
      </c>
      <c r="C37" s="7">
        <f t="shared" si="17"/>
        <v>1.125</v>
      </c>
      <c r="D37" s="87" t="s">
        <v>17</v>
      </c>
      <c r="E37" s="5">
        <f t="shared" si="13"/>
        <v>2.75E-2</v>
      </c>
      <c r="F37" s="88" t="str">
        <f t="shared" si="9"/>
        <v>Oz</v>
      </c>
      <c r="G37" s="5">
        <f t="shared" si="10"/>
        <v>3.09375E-2</v>
      </c>
      <c r="I37" s="7" t="s">
        <v>92</v>
      </c>
      <c r="J37" s="7">
        <f t="shared" si="18"/>
        <v>0.82499999999999996</v>
      </c>
      <c r="K37" s="87" t="s">
        <v>17</v>
      </c>
      <c r="L37" s="5">
        <f t="shared" si="14"/>
        <v>2.75E-2</v>
      </c>
      <c r="M37" s="88" t="str">
        <f t="shared" si="11"/>
        <v>Oz</v>
      </c>
      <c r="N37" s="5">
        <f t="shared" si="12"/>
        <v>2.2687499999999999E-2</v>
      </c>
      <c r="P37" s="7" t="s">
        <v>92</v>
      </c>
      <c r="Q37" s="7">
        <f t="shared" si="19"/>
        <v>0.82499999999999996</v>
      </c>
      <c r="R37" s="87" t="s">
        <v>17</v>
      </c>
      <c r="S37" s="5">
        <f t="shared" si="20"/>
        <v>2.75E-2</v>
      </c>
      <c r="T37" s="88" t="str">
        <f t="shared" si="15"/>
        <v>Oz</v>
      </c>
      <c r="U37" s="5">
        <f t="shared" si="16"/>
        <v>2.2687499999999999E-2</v>
      </c>
    </row>
    <row r="38" spans="2:21" x14ac:dyDescent="0.35">
      <c r="B38" s="7" t="s">
        <v>342</v>
      </c>
      <c r="C38" s="7">
        <f t="shared" si="17"/>
        <v>2.625</v>
      </c>
      <c r="D38" s="7" t="s">
        <v>17</v>
      </c>
      <c r="E38" s="5">
        <f t="shared" si="13"/>
        <v>0.1</v>
      </c>
      <c r="F38" s="5" t="str">
        <f t="shared" si="9"/>
        <v>Oz</v>
      </c>
      <c r="G38" s="5">
        <f t="shared" si="10"/>
        <v>0.26250000000000001</v>
      </c>
      <c r="I38" s="7" t="s">
        <v>342</v>
      </c>
      <c r="J38" s="7">
        <f t="shared" si="18"/>
        <v>2.625</v>
      </c>
      <c r="K38" s="7" t="s">
        <v>17</v>
      </c>
      <c r="L38" s="5">
        <f t="shared" si="14"/>
        <v>0.1</v>
      </c>
      <c r="M38" s="5" t="str">
        <f t="shared" si="11"/>
        <v>Oz</v>
      </c>
      <c r="N38" s="5">
        <f t="shared" si="12"/>
        <v>0.26250000000000001</v>
      </c>
      <c r="P38" s="7" t="s">
        <v>342</v>
      </c>
      <c r="Q38" s="7">
        <f t="shared" si="19"/>
        <v>2.625</v>
      </c>
      <c r="R38" s="7" t="s">
        <v>17</v>
      </c>
      <c r="S38" s="5">
        <f t="shared" si="20"/>
        <v>0.1</v>
      </c>
      <c r="T38" s="5" t="str">
        <f t="shared" si="15"/>
        <v>Oz</v>
      </c>
      <c r="U38" s="5">
        <f t="shared" si="16"/>
        <v>0.26250000000000001</v>
      </c>
    </row>
    <row r="39" spans="2:21" x14ac:dyDescent="0.35">
      <c r="B39" s="7" t="s">
        <v>302</v>
      </c>
      <c r="C39" s="7">
        <f t="shared" si="17"/>
        <v>18</v>
      </c>
      <c r="D39" s="7" t="s">
        <v>346</v>
      </c>
      <c r="E39" s="5">
        <f t="shared" si="13"/>
        <v>2.1658333333333334E-3</v>
      </c>
      <c r="F39" s="5" t="str">
        <f>D39</f>
        <v>Inch</v>
      </c>
      <c r="G39" s="5">
        <f>C39*E39</f>
        <v>3.8984999999999999E-2</v>
      </c>
      <c r="I39" s="7" t="s">
        <v>302</v>
      </c>
      <c r="J39" s="7">
        <f t="shared" si="18"/>
        <v>18</v>
      </c>
      <c r="K39" s="7" t="s">
        <v>346</v>
      </c>
      <c r="L39" s="5">
        <f t="shared" si="14"/>
        <v>2.1658333333333334E-3</v>
      </c>
      <c r="M39" s="5" t="str">
        <f>K39</f>
        <v>Inch</v>
      </c>
      <c r="N39" s="5">
        <f>J39*L39</f>
        <v>3.8984999999999999E-2</v>
      </c>
      <c r="P39" s="7" t="s">
        <v>302</v>
      </c>
      <c r="Q39" s="7">
        <f t="shared" si="19"/>
        <v>18</v>
      </c>
      <c r="R39" s="7" t="s">
        <v>346</v>
      </c>
      <c r="S39" s="5">
        <f t="shared" si="20"/>
        <v>2.1658333333333334E-3</v>
      </c>
      <c r="T39" s="5" t="str">
        <f>R39</f>
        <v>Inch</v>
      </c>
      <c r="U39" s="5">
        <f>Q39*S39</f>
        <v>3.8984999999999999E-2</v>
      </c>
    </row>
    <row r="40" spans="2:21" x14ac:dyDescent="0.35">
      <c r="B40" s="7" t="s">
        <v>343</v>
      </c>
      <c r="C40" s="7">
        <v>1</v>
      </c>
      <c r="D40" s="7" t="s">
        <v>292</v>
      </c>
      <c r="E40" s="5">
        <f t="shared" si="13"/>
        <v>0</v>
      </c>
      <c r="F40" s="5" t="str">
        <f>D40</f>
        <v>Count</v>
      </c>
      <c r="G40" s="5">
        <f>C40*E40</f>
        <v>0</v>
      </c>
      <c r="I40" s="7" t="s">
        <v>343</v>
      </c>
      <c r="J40" s="7">
        <v>1</v>
      </c>
      <c r="K40" s="7" t="s">
        <v>292</v>
      </c>
      <c r="L40" s="5">
        <f t="shared" si="14"/>
        <v>0</v>
      </c>
      <c r="M40" s="5" t="str">
        <f>K40</f>
        <v>Count</v>
      </c>
      <c r="N40" s="5">
        <f>J40*L40</f>
        <v>0</v>
      </c>
      <c r="P40" s="7" t="s">
        <v>343</v>
      </c>
      <c r="Q40" s="7">
        <v>1</v>
      </c>
      <c r="R40" s="7" t="s">
        <v>292</v>
      </c>
      <c r="S40" s="5">
        <f t="shared" si="20"/>
        <v>0</v>
      </c>
      <c r="T40" s="5" t="str">
        <f>R40</f>
        <v>Count</v>
      </c>
      <c r="U40" s="5">
        <f>Q40*S40</f>
        <v>0</v>
      </c>
    </row>
    <row r="42" spans="2:21" ht="15.5" x14ac:dyDescent="0.35">
      <c r="B42" s="119" t="s">
        <v>352</v>
      </c>
      <c r="C42" s="120"/>
      <c r="D42" s="121"/>
      <c r="E42" s="122" t="s">
        <v>7</v>
      </c>
      <c r="F42" s="123"/>
      <c r="G42" s="30">
        <f>SUM(G46:G58)</f>
        <v>2.4821376321052737</v>
      </c>
      <c r="I42" s="119" t="s">
        <v>353</v>
      </c>
      <c r="J42" s="120"/>
      <c r="K42" s="121"/>
      <c r="L42" s="122" t="s">
        <v>7</v>
      </c>
      <c r="M42" s="123"/>
      <c r="N42" s="30">
        <f>SUM(N46:N58)</f>
        <v>2.5191307371395451</v>
      </c>
      <c r="P42" s="119" t="s">
        <v>369</v>
      </c>
      <c r="Q42" s="120"/>
      <c r="R42" s="121"/>
      <c r="S42" s="122" t="s">
        <v>7</v>
      </c>
      <c r="T42" s="123"/>
      <c r="U42" s="30">
        <f>SUM(U46:U55)</f>
        <v>2.4041189699074073</v>
      </c>
    </row>
    <row r="43" spans="2:21" x14ac:dyDescent="0.35">
      <c r="B43" s="9"/>
      <c r="G43" s="8"/>
      <c r="I43" s="9"/>
      <c r="N43" s="8"/>
      <c r="P43" s="9"/>
      <c r="U43" s="8"/>
    </row>
    <row r="44" spans="2:21" x14ac:dyDescent="0.35">
      <c r="B44" s="10"/>
      <c r="C44" s="124" t="s">
        <v>13</v>
      </c>
      <c r="D44" s="125"/>
      <c r="E44" s="124" t="s">
        <v>14</v>
      </c>
      <c r="F44" s="125"/>
      <c r="G44" s="5" t="s">
        <v>6</v>
      </c>
      <c r="I44" s="10"/>
      <c r="J44" s="124" t="s">
        <v>13</v>
      </c>
      <c r="K44" s="125"/>
      <c r="L44" s="124" t="s">
        <v>14</v>
      </c>
      <c r="M44" s="125"/>
      <c r="N44" s="5" t="s">
        <v>6</v>
      </c>
      <c r="P44" s="10"/>
      <c r="Q44" s="124" t="s">
        <v>13</v>
      </c>
      <c r="R44" s="125"/>
      <c r="S44" s="124" t="s">
        <v>14</v>
      </c>
      <c r="T44" s="125"/>
      <c r="U44" s="5" t="s">
        <v>6</v>
      </c>
    </row>
    <row r="45" spans="2:21" x14ac:dyDescent="0.35">
      <c r="B45" s="5" t="s">
        <v>10</v>
      </c>
      <c r="C45" s="5" t="s">
        <v>2</v>
      </c>
      <c r="D45" s="5" t="s">
        <v>1</v>
      </c>
      <c r="E45" s="5" t="s">
        <v>11</v>
      </c>
      <c r="F45" s="5" t="s">
        <v>1</v>
      </c>
      <c r="G45" s="5" t="s">
        <v>15</v>
      </c>
      <c r="I45" s="5" t="s">
        <v>10</v>
      </c>
      <c r="J45" s="5" t="s">
        <v>2</v>
      </c>
      <c r="K45" s="5" t="s">
        <v>1</v>
      </c>
      <c r="L45" s="5" t="s">
        <v>11</v>
      </c>
      <c r="M45" s="5" t="s">
        <v>1</v>
      </c>
      <c r="N45" s="5" t="s">
        <v>15</v>
      </c>
      <c r="P45" s="5" t="s">
        <v>10</v>
      </c>
      <c r="Q45" s="5" t="s">
        <v>2</v>
      </c>
      <c r="R45" s="5" t="s">
        <v>1</v>
      </c>
      <c r="S45" s="5" t="s">
        <v>11</v>
      </c>
      <c r="T45" s="5" t="s">
        <v>1</v>
      </c>
      <c r="U45" s="5" t="s">
        <v>15</v>
      </c>
    </row>
    <row r="46" spans="2:21" x14ac:dyDescent="0.35">
      <c r="B46" s="7" t="s">
        <v>340</v>
      </c>
      <c r="C46" s="7">
        <f>22/3</f>
        <v>7.333333333333333</v>
      </c>
      <c r="D46" s="7" t="s">
        <v>17</v>
      </c>
      <c r="E46" s="5">
        <f>E7</f>
        <v>3.3574516898448738E-2</v>
      </c>
      <c r="F46" s="5" t="str">
        <f>D46</f>
        <v>Oz</v>
      </c>
      <c r="G46" s="5">
        <f>C46*E46</f>
        <v>0.24621312392195741</v>
      </c>
      <c r="I46" s="7" t="s">
        <v>251</v>
      </c>
      <c r="J46" s="7">
        <v>1</v>
      </c>
      <c r="K46" s="7" t="s">
        <v>251</v>
      </c>
      <c r="L46" s="5">
        <f>L7</f>
        <v>0.33333333333333331</v>
      </c>
      <c r="M46" s="5" t="str">
        <f>K46</f>
        <v>Wrap</v>
      </c>
      <c r="N46" s="5">
        <f>J46*L46</f>
        <v>0.33333333333333331</v>
      </c>
      <c r="P46" s="7" t="s">
        <v>251</v>
      </c>
      <c r="Q46" s="7">
        <v>1</v>
      </c>
      <c r="R46" s="7" t="s">
        <v>251</v>
      </c>
      <c r="S46" s="5">
        <f>L7</f>
        <v>0.33333333333333331</v>
      </c>
      <c r="T46" s="5" t="str">
        <f>R46</f>
        <v>Wrap</v>
      </c>
      <c r="U46" s="5">
        <f>Q46*S46</f>
        <v>0.33333333333333331</v>
      </c>
    </row>
    <row r="47" spans="2:21" x14ac:dyDescent="0.35">
      <c r="B47" s="7" t="s">
        <v>235</v>
      </c>
      <c r="C47" s="7">
        <v>6</v>
      </c>
      <c r="D47" s="7" t="s">
        <v>128</v>
      </c>
      <c r="E47" s="5">
        <f>U9</f>
        <v>0.171171875</v>
      </c>
      <c r="F47" s="5" t="str">
        <f t="shared" ref="F47:F56" si="21">D47</f>
        <v>Slice</v>
      </c>
      <c r="G47" s="5">
        <f t="shared" ref="G47:G56" si="22">C47*E47</f>
        <v>1.0270312500000001</v>
      </c>
      <c r="I47" s="7" t="s">
        <v>235</v>
      </c>
      <c r="J47" s="7">
        <v>6</v>
      </c>
      <c r="K47" s="7" t="s">
        <v>128</v>
      </c>
      <c r="L47" s="5">
        <f>U9</f>
        <v>0.171171875</v>
      </c>
      <c r="M47" s="5" t="str">
        <f t="shared" ref="M47:M56" si="23">K47</f>
        <v>Slice</v>
      </c>
      <c r="N47" s="5">
        <f t="shared" ref="N47:N56" si="24">J47*L47</f>
        <v>1.0270312500000001</v>
      </c>
      <c r="P47" s="7" t="s">
        <v>235</v>
      </c>
      <c r="Q47" s="7">
        <v>6</v>
      </c>
      <c r="R47" s="7" t="s">
        <v>128</v>
      </c>
      <c r="S47" s="5">
        <f>U9</f>
        <v>0.171171875</v>
      </c>
      <c r="T47" s="5" t="str">
        <f t="shared" ref="T47:T53" si="25">R47</f>
        <v>Slice</v>
      </c>
      <c r="U47" s="5">
        <f t="shared" ref="U47:U53" si="26">Q47*S47</f>
        <v>1.0270312500000001</v>
      </c>
    </row>
    <row r="48" spans="2:21" x14ac:dyDescent="0.35">
      <c r="B48" s="7" t="s">
        <v>341</v>
      </c>
      <c r="C48" s="7">
        <v>3</v>
      </c>
      <c r="D48" s="7" t="s">
        <v>128</v>
      </c>
      <c r="E48" s="5">
        <f>U11</f>
        <v>0.12515625</v>
      </c>
      <c r="F48" s="5" t="str">
        <f t="shared" si="21"/>
        <v>Slice</v>
      </c>
      <c r="G48" s="5">
        <f t="shared" si="22"/>
        <v>0.37546875000000002</v>
      </c>
      <c r="I48" s="7" t="s">
        <v>341</v>
      </c>
      <c r="J48" s="7">
        <v>3</v>
      </c>
      <c r="K48" s="7" t="s">
        <v>128</v>
      </c>
      <c r="L48" s="5">
        <f>U11</f>
        <v>0.12515625</v>
      </c>
      <c r="M48" s="5" t="str">
        <f t="shared" si="23"/>
        <v>Slice</v>
      </c>
      <c r="N48" s="5">
        <f t="shared" si="24"/>
        <v>0.37546875000000002</v>
      </c>
      <c r="P48" s="7" t="s">
        <v>28</v>
      </c>
      <c r="Q48" s="7">
        <v>0.75</v>
      </c>
      <c r="R48" s="7" t="s">
        <v>17</v>
      </c>
      <c r="S48" s="5">
        <f>'Food Prices'!L56</f>
        <v>0.46875</v>
      </c>
      <c r="T48" s="5" t="str">
        <f t="shared" si="25"/>
        <v>Oz</v>
      </c>
      <c r="U48" s="5">
        <f t="shared" si="26"/>
        <v>0.3515625</v>
      </c>
    </row>
    <row r="49" spans="2:21" x14ac:dyDescent="0.35">
      <c r="B49" s="7" t="s">
        <v>276</v>
      </c>
      <c r="C49" s="7">
        <v>1</v>
      </c>
      <c r="D49" s="7" t="s">
        <v>17</v>
      </c>
      <c r="E49" s="5">
        <f>E11</f>
        <v>4.9785156249999997E-2</v>
      </c>
      <c r="F49" s="5" t="str">
        <f t="shared" si="21"/>
        <v>Oz</v>
      </c>
      <c r="G49" s="5">
        <f t="shared" si="22"/>
        <v>4.9785156249999997E-2</v>
      </c>
      <c r="I49" s="7" t="s">
        <v>276</v>
      </c>
      <c r="J49" s="7">
        <v>1</v>
      </c>
      <c r="K49" s="7" t="s">
        <v>17</v>
      </c>
      <c r="L49" s="5">
        <f>L11</f>
        <v>4.9785156249999997E-2</v>
      </c>
      <c r="M49" s="5" t="str">
        <f t="shared" si="23"/>
        <v>Oz</v>
      </c>
      <c r="N49" s="5">
        <f t="shared" si="24"/>
        <v>4.9785156249999997E-2</v>
      </c>
      <c r="P49" s="7" t="s">
        <v>44</v>
      </c>
      <c r="Q49" s="7">
        <v>1.5</v>
      </c>
      <c r="R49" s="7" t="s">
        <v>17</v>
      </c>
      <c r="S49" s="5">
        <f>'Food Prices'!L39</f>
        <v>9.1796875E-2</v>
      </c>
      <c r="T49" s="5" t="str">
        <f t="shared" si="25"/>
        <v>Oz</v>
      </c>
      <c r="U49" s="5">
        <f t="shared" si="26"/>
        <v>0.1376953125</v>
      </c>
    </row>
    <row r="50" spans="2:21" x14ac:dyDescent="0.35">
      <c r="B50" s="7" t="s">
        <v>344</v>
      </c>
      <c r="C50" s="7">
        <f>C12</f>
        <v>1</v>
      </c>
      <c r="D50" s="7" t="s">
        <v>17</v>
      </c>
      <c r="E50" s="5">
        <f t="shared" ref="E50:E58" si="27">E12</f>
        <v>0.15319098598213757</v>
      </c>
      <c r="F50" s="5" t="str">
        <f t="shared" si="21"/>
        <v>Oz</v>
      </c>
      <c r="G50" s="5">
        <f t="shared" si="22"/>
        <v>0.15319098598213757</v>
      </c>
      <c r="I50" s="7" t="s">
        <v>344</v>
      </c>
      <c r="J50" s="7">
        <f>J12</f>
        <v>1</v>
      </c>
      <c r="K50" s="7" t="s">
        <v>17</v>
      </c>
      <c r="L50" s="5">
        <f t="shared" ref="L50:L58" si="28">L12</f>
        <v>0.15319098598213757</v>
      </c>
      <c r="M50" s="5" t="str">
        <f t="shared" si="23"/>
        <v>Oz</v>
      </c>
      <c r="N50" s="5">
        <f t="shared" si="24"/>
        <v>0.15319098598213757</v>
      </c>
      <c r="P50" s="7" t="s">
        <v>232</v>
      </c>
      <c r="Q50" s="7">
        <f>J15</f>
        <v>1.5277777777777777</v>
      </c>
      <c r="R50" s="7" t="s">
        <v>17</v>
      </c>
      <c r="S50" s="5">
        <f>L15</f>
        <v>7.2727272727272724E-2</v>
      </c>
      <c r="T50" s="5" t="str">
        <f t="shared" si="25"/>
        <v>Oz</v>
      </c>
      <c r="U50" s="5">
        <f t="shared" si="26"/>
        <v>0.1111111111111111</v>
      </c>
    </row>
    <row r="51" spans="2:21" x14ac:dyDescent="0.35">
      <c r="B51" s="7" t="s">
        <v>345</v>
      </c>
      <c r="C51" s="7">
        <f t="shared" ref="C51:C57" si="29">C13</f>
        <v>1</v>
      </c>
      <c r="D51" s="7" t="s">
        <v>17</v>
      </c>
      <c r="E51" s="5">
        <f t="shared" si="27"/>
        <v>1.85546875E-2</v>
      </c>
      <c r="F51" s="5" t="str">
        <f t="shared" si="21"/>
        <v>Oz</v>
      </c>
      <c r="G51" s="5">
        <f t="shared" si="22"/>
        <v>1.85546875E-2</v>
      </c>
      <c r="I51" s="7" t="s">
        <v>345</v>
      </c>
      <c r="J51" s="7">
        <f t="shared" ref="J51:J57" si="30">J13</f>
        <v>1</v>
      </c>
      <c r="K51" s="7" t="s">
        <v>17</v>
      </c>
      <c r="L51" s="5">
        <f t="shared" si="28"/>
        <v>1.85546875E-2</v>
      </c>
      <c r="M51" s="5" t="str">
        <f t="shared" si="23"/>
        <v>Oz</v>
      </c>
      <c r="N51" s="5">
        <f t="shared" si="24"/>
        <v>1.85546875E-2</v>
      </c>
      <c r="P51" s="7" t="s">
        <v>233</v>
      </c>
      <c r="Q51" s="7">
        <f t="shared" ref="Q51:Q55" si="31">J16</f>
        <v>1.2222222222222223</v>
      </c>
      <c r="R51" s="7" t="s">
        <v>17</v>
      </c>
      <c r="S51" s="5">
        <f t="shared" ref="S51:S55" si="32">L16</f>
        <v>9.7537878787878798E-2</v>
      </c>
      <c r="T51" s="5" t="str">
        <f t="shared" si="25"/>
        <v>Oz</v>
      </c>
      <c r="U51" s="5">
        <f t="shared" si="26"/>
        <v>0.11921296296296298</v>
      </c>
    </row>
    <row r="52" spans="2:21" x14ac:dyDescent="0.35">
      <c r="B52" s="7" t="s">
        <v>257</v>
      </c>
      <c r="C52" s="7">
        <f t="shared" si="29"/>
        <v>6.0000000000000001E-3</v>
      </c>
      <c r="D52" s="7" t="str">
        <f>D14</f>
        <v>Oz</v>
      </c>
      <c r="E52" s="5">
        <f t="shared" si="27"/>
        <v>1.2116666666666667</v>
      </c>
      <c r="F52" s="5" t="str">
        <f t="shared" si="21"/>
        <v>Oz</v>
      </c>
      <c r="G52" s="5">
        <f t="shared" si="22"/>
        <v>7.2700000000000004E-3</v>
      </c>
      <c r="I52" s="7" t="s">
        <v>257</v>
      </c>
      <c r="J52" s="7">
        <f t="shared" si="30"/>
        <v>6.0000000000000001E-3</v>
      </c>
      <c r="K52" s="7" t="str">
        <f>K14</f>
        <v>Oz</v>
      </c>
      <c r="L52" s="5">
        <f t="shared" si="28"/>
        <v>1.2116666666666667</v>
      </c>
      <c r="M52" s="5" t="str">
        <f t="shared" si="23"/>
        <v>Oz</v>
      </c>
      <c r="N52" s="5">
        <f t="shared" si="24"/>
        <v>7.2700000000000004E-3</v>
      </c>
      <c r="P52" s="7" t="s">
        <v>92</v>
      </c>
      <c r="Q52" s="7">
        <f t="shared" si="31"/>
        <v>0.82499999999999996</v>
      </c>
      <c r="R52" s="87" t="s">
        <v>17</v>
      </c>
      <c r="S52" s="5">
        <f t="shared" si="32"/>
        <v>2.75E-2</v>
      </c>
      <c r="T52" s="88" t="str">
        <f t="shared" si="25"/>
        <v>Oz</v>
      </c>
      <c r="U52" s="5">
        <f t="shared" si="26"/>
        <v>2.2687499999999999E-2</v>
      </c>
    </row>
    <row r="53" spans="2:21" x14ac:dyDescent="0.35">
      <c r="B53" s="7" t="s">
        <v>232</v>
      </c>
      <c r="C53" s="7">
        <f t="shared" si="29"/>
        <v>1.8055555555555556</v>
      </c>
      <c r="D53" s="7" t="s">
        <v>17</v>
      </c>
      <c r="E53" s="5">
        <f t="shared" si="27"/>
        <v>7.2727272727272724E-2</v>
      </c>
      <c r="F53" s="5" t="str">
        <f t="shared" si="21"/>
        <v>Oz</v>
      </c>
      <c r="G53" s="5">
        <f t="shared" si="22"/>
        <v>0.1313131313131313</v>
      </c>
      <c r="I53" s="7" t="s">
        <v>232</v>
      </c>
      <c r="J53" s="7">
        <f t="shared" si="30"/>
        <v>1.5277777777777777</v>
      </c>
      <c r="K53" s="7" t="s">
        <v>17</v>
      </c>
      <c r="L53" s="5">
        <f t="shared" si="28"/>
        <v>7.2727272727272724E-2</v>
      </c>
      <c r="M53" s="5" t="str">
        <f t="shared" si="23"/>
        <v>Oz</v>
      </c>
      <c r="N53" s="5">
        <f t="shared" si="24"/>
        <v>0.1111111111111111</v>
      </c>
      <c r="P53" s="7" t="s">
        <v>342</v>
      </c>
      <c r="Q53" s="7">
        <f t="shared" si="31"/>
        <v>2.625</v>
      </c>
      <c r="R53" s="7" t="s">
        <v>17</v>
      </c>
      <c r="S53" s="5">
        <f t="shared" si="32"/>
        <v>0.1</v>
      </c>
      <c r="T53" s="5" t="str">
        <f t="shared" si="25"/>
        <v>Oz</v>
      </c>
      <c r="U53" s="5">
        <f t="shared" si="26"/>
        <v>0.26250000000000001</v>
      </c>
    </row>
    <row r="54" spans="2:21" x14ac:dyDescent="0.35">
      <c r="B54" s="7" t="s">
        <v>233</v>
      </c>
      <c r="C54" s="7">
        <f t="shared" si="29"/>
        <v>1.4444444444444444</v>
      </c>
      <c r="D54" s="7" t="s">
        <v>17</v>
      </c>
      <c r="E54" s="5">
        <f t="shared" si="27"/>
        <v>9.7537878787878798E-2</v>
      </c>
      <c r="F54" s="5" t="str">
        <f t="shared" si="21"/>
        <v>Oz</v>
      </c>
      <c r="G54" s="5">
        <f t="shared" si="22"/>
        <v>0.14088804713804715</v>
      </c>
      <c r="I54" s="7" t="s">
        <v>233</v>
      </c>
      <c r="J54" s="7">
        <f t="shared" si="30"/>
        <v>1.2222222222222223</v>
      </c>
      <c r="K54" s="7" t="s">
        <v>17</v>
      </c>
      <c r="L54" s="5">
        <f t="shared" si="28"/>
        <v>9.7537878787878798E-2</v>
      </c>
      <c r="M54" s="5" t="str">
        <f t="shared" si="23"/>
        <v>Oz</v>
      </c>
      <c r="N54" s="5">
        <f t="shared" si="24"/>
        <v>0.11921296296296298</v>
      </c>
      <c r="P54" s="7" t="s">
        <v>302</v>
      </c>
      <c r="Q54" s="7">
        <f t="shared" si="31"/>
        <v>18</v>
      </c>
      <c r="R54" s="7" t="s">
        <v>346</v>
      </c>
      <c r="S54" s="5">
        <f t="shared" si="32"/>
        <v>2.1658333333333334E-3</v>
      </c>
      <c r="T54" s="5" t="str">
        <f>R54</f>
        <v>Inch</v>
      </c>
      <c r="U54" s="5">
        <f>Q54*S54</f>
        <v>3.8984999999999999E-2</v>
      </c>
    </row>
    <row r="55" spans="2:21" x14ac:dyDescent="0.35">
      <c r="B55" s="7" t="s">
        <v>92</v>
      </c>
      <c r="C55" s="7">
        <f t="shared" si="29"/>
        <v>1.125</v>
      </c>
      <c r="D55" s="87" t="s">
        <v>17</v>
      </c>
      <c r="E55" s="5">
        <f t="shared" si="27"/>
        <v>2.75E-2</v>
      </c>
      <c r="F55" s="88" t="str">
        <f t="shared" si="21"/>
        <v>Oz</v>
      </c>
      <c r="G55" s="5">
        <f t="shared" si="22"/>
        <v>3.09375E-2</v>
      </c>
      <c r="I55" s="7" t="s">
        <v>92</v>
      </c>
      <c r="J55" s="7">
        <f t="shared" si="30"/>
        <v>0.82499999999999996</v>
      </c>
      <c r="K55" s="87" t="s">
        <v>17</v>
      </c>
      <c r="L55" s="5">
        <f t="shared" si="28"/>
        <v>2.75E-2</v>
      </c>
      <c r="M55" s="88" t="str">
        <f t="shared" si="23"/>
        <v>Oz</v>
      </c>
      <c r="N55" s="5">
        <f t="shared" si="24"/>
        <v>2.2687499999999999E-2</v>
      </c>
      <c r="P55" s="7" t="s">
        <v>343</v>
      </c>
      <c r="Q55" s="7">
        <f t="shared" si="31"/>
        <v>1</v>
      </c>
      <c r="R55" s="7" t="s">
        <v>292</v>
      </c>
      <c r="S55" s="5">
        <f t="shared" si="32"/>
        <v>0</v>
      </c>
      <c r="T55" s="5" t="str">
        <f>R55</f>
        <v>Count</v>
      </c>
      <c r="U55" s="5">
        <f>Q55*S55</f>
        <v>0</v>
      </c>
    </row>
    <row r="56" spans="2:21" x14ac:dyDescent="0.35">
      <c r="B56" s="7" t="s">
        <v>342</v>
      </c>
      <c r="C56" s="7">
        <f t="shared" si="29"/>
        <v>2.625</v>
      </c>
      <c r="D56" s="7" t="s">
        <v>17</v>
      </c>
      <c r="E56" s="5">
        <f t="shared" si="27"/>
        <v>0.1</v>
      </c>
      <c r="F56" s="5" t="str">
        <f t="shared" si="21"/>
        <v>Oz</v>
      </c>
      <c r="G56" s="5">
        <f t="shared" si="22"/>
        <v>0.26250000000000001</v>
      </c>
      <c r="I56" s="7" t="s">
        <v>342</v>
      </c>
      <c r="J56" s="7">
        <f t="shared" si="30"/>
        <v>2.625</v>
      </c>
      <c r="K56" s="7" t="s">
        <v>17</v>
      </c>
      <c r="L56" s="5">
        <f t="shared" si="28"/>
        <v>0.1</v>
      </c>
      <c r="M56" s="5" t="str">
        <f t="shared" si="23"/>
        <v>Oz</v>
      </c>
      <c r="N56" s="5">
        <f t="shared" si="24"/>
        <v>0.26250000000000001</v>
      </c>
    </row>
    <row r="57" spans="2:21" ht="15.5" x14ac:dyDescent="0.35">
      <c r="B57" s="7" t="s">
        <v>302</v>
      </c>
      <c r="C57" s="7">
        <f t="shared" si="29"/>
        <v>18</v>
      </c>
      <c r="D57" s="7" t="s">
        <v>346</v>
      </c>
      <c r="E57" s="5">
        <f t="shared" si="27"/>
        <v>2.1658333333333334E-3</v>
      </c>
      <c r="F57" s="5" t="str">
        <f>D57</f>
        <v>Inch</v>
      </c>
      <c r="G57" s="5">
        <f>C57*E57</f>
        <v>3.8984999999999999E-2</v>
      </c>
      <c r="I57" s="7" t="s">
        <v>302</v>
      </c>
      <c r="J57" s="7">
        <f t="shared" si="30"/>
        <v>18</v>
      </c>
      <c r="K57" s="7" t="s">
        <v>346</v>
      </c>
      <c r="L57" s="5">
        <f t="shared" si="28"/>
        <v>2.1658333333333334E-3</v>
      </c>
      <c r="M57" s="5" t="str">
        <f>K57</f>
        <v>Inch</v>
      </c>
      <c r="N57" s="5">
        <f>J57*L57</f>
        <v>3.8984999999999999E-2</v>
      </c>
      <c r="P57" s="119" t="s">
        <v>370</v>
      </c>
      <c r="Q57" s="120"/>
      <c r="R57" s="121"/>
      <c r="S57" s="122" t="s">
        <v>7</v>
      </c>
      <c r="T57" s="123"/>
      <c r="U57" s="30">
        <f>SUM(U61:U69)</f>
        <v>2.0509749482131947</v>
      </c>
    </row>
    <row r="58" spans="2:21" x14ac:dyDescent="0.35">
      <c r="B58" s="7" t="s">
        <v>343</v>
      </c>
      <c r="C58" s="7">
        <v>1</v>
      </c>
      <c r="D58" s="7" t="s">
        <v>292</v>
      </c>
      <c r="E58" s="5">
        <f t="shared" si="27"/>
        <v>0</v>
      </c>
      <c r="F58" s="5" t="str">
        <f>D58</f>
        <v>Count</v>
      </c>
      <c r="G58" s="5">
        <f>C58*E58</f>
        <v>0</v>
      </c>
      <c r="I58" s="7" t="s">
        <v>343</v>
      </c>
      <c r="J58" s="7">
        <v>1</v>
      </c>
      <c r="K58" s="7" t="s">
        <v>292</v>
      </c>
      <c r="L58" s="5">
        <f t="shared" si="28"/>
        <v>0</v>
      </c>
      <c r="M58" s="5" t="str">
        <f>K58</f>
        <v>Count</v>
      </c>
      <c r="N58" s="5">
        <f>J58*L58</f>
        <v>0</v>
      </c>
      <c r="P58" s="9"/>
      <c r="U58" s="8"/>
    </row>
    <row r="59" spans="2:21" x14ac:dyDescent="0.35">
      <c r="P59" s="10"/>
      <c r="Q59" s="124" t="s">
        <v>13</v>
      </c>
      <c r="R59" s="125"/>
      <c r="S59" s="124" t="s">
        <v>14</v>
      </c>
      <c r="T59" s="125"/>
      <c r="U59" s="5" t="s">
        <v>6</v>
      </c>
    </row>
    <row r="60" spans="2:21" ht="15.5" x14ac:dyDescent="0.35">
      <c r="B60" s="119" t="s">
        <v>354</v>
      </c>
      <c r="C60" s="120"/>
      <c r="D60" s="121"/>
      <c r="E60" s="122" t="s">
        <v>7</v>
      </c>
      <c r="F60" s="123"/>
      <c r="G60" s="30">
        <f>SUM(G64:G76)</f>
        <v>2.6119573436437356</v>
      </c>
      <c r="I60" s="119" t="s">
        <v>355</v>
      </c>
      <c r="J60" s="120"/>
      <c r="K60" s="121"/>
      <c r="L60" s="122" t="s">
        <v>7</v>
      </c>
      <c r="M60" s="123"/>
      <c r="N60" s="30">
        <f>SUM(N64:N76)</f>
        <v>2.6489504486780064</v>
      </c>
      <c r="P60" s="5" t="s">
        <v>10</v>
      </c>
      <c r="Q60" s="5" t="s">
        <v>2</v>
      </c>
      <c r="R60" s="5" t="s">
        <v>1</v>
      </c>
      <c r="S60" s="5" t="s">
        <v>11</v>
      </c>
      <c r="T60" s="5" t="s">
        <v>1</v>
      </c>
      <c r="U60" s="5" t="s">
        <v>15</v>
      </c>
    </row>
    <row r="61" spans="2:21" x14ac:dyDescent="0.35">
      <c r="B61" s="9"/>
      <c r="G61" s="8"/>
      <c r="I61" s="9"/>
      <c r="N61" s="8"/>
      <c r="P61" s="7" t="s">
        <v>251</v>
      </c>
      <c r="Q61" s="7">
        <f>J7</f>
        <v>1</v>
      </c>
      <c r="R61" s="7" t="s">
        <v>251</v>
      </c>
      <c r="S61" s="5">
        <f>L7</f>
        <v>0.33333333333333331</v>
      </c>
      <c r="T61" s="5" t="str">
        <f>R61</f>
        <v>Wrap</v>
      </c>
      <c r="U61" s="5">
        <f>Q61*S61</f>
        <v>0.33333333333333331</v>
      </c>
    </row>
    <row r="62" spans="2:21" x14ac:dyDescent="0.35">
      <c r="B62" s="10"/>
      <c r="C62" s="124" t="s">
        <v>13</v>
      </c>
      <c r="D62" s="125"/>
      <c r="E62" s="124" t="s">
        <v>14</v>
      </c>
      <c r="F62" s="125"/>
      <c r="G62" s="5" t="s">
        <v>6</v>
      </c>
      <c r="I62" s="10"/>
      <c r="J62" s="124" t="s">
        <v>13</v>
      </c>
      <c r="K62" s="125"/>
      <c r="L62" s="124" t="s">
        <v>14</v>
      </c>
      <c r="M62" s="125"/>
      <c r="N62" s="5" t="s">
        <v>6</v>
      </c>
      <c r="P62" s="7" t="s">
        <v>95</v>
      </c>
      <c r="Q62" s="7">
        <v>6.25</v>
      </c>
      <c r="R62" s="7" t="s">
        <v>17</v>
      </c>
      <c r="S62" s="5">
        <f>'Food Prices'!L59</f>
        <v>0.126546875</v>
      </c>
      <c r="T62" s="5" t="str">
        <f t="shared" ref="T62:T67" si="33">R62</f>
        <v>Oz</v>
      </c>
      <c r="U62" s="5">
        <f t="shared" ref="U62:U67" si="34">Q62*S62</f>
        <v>0.79091796874999998</v>
      </c>
    </row>
    <row r="63" spans="2:21" x14ac:dyDescent="0.35">
      <c r="B63" s="5" t="s">
        <v>10</v>
      </c>
      <c r="C63" s="5" t="s">
        <v>2</v>
      </c>
      <c r="D63" s="5" t="s">
        <v>1</v>
      </c>
      <c r="E63" s="5" t="s">
        <v>11</v>
      </c>
      <c r="F63" s="5" t="s">
        <v>1</v>
      </c>
      <c r="G63" s="5" t="s">
        <v>15</v>
      </c>
      <c r="I63" s="5" t="s">
        <v>10</v>
      </c>
      <c r="J63" s="5" t="s">
        <v>2</v>
      </c>
      <c r="K63" s="5" t="s">
        <v>1</v>
      </c>
      <c r="L63" s="5" t="s">
        <v>11</v>
      </c>
      <c r="M63" s="5" t="s">
        <v>1</v>
      </c>
      <c r="N63" s="5" t="s">
        <v>15</v>
      </c>
      <c r="P63" s="7" t="s">
        <v>153</v>
      </c>
      <c r="Q63" s="7">
        <v>2</v>
      </c>
      <c r="R63" s="7" t="s">
        <v>17</v>
      </c>
      <c r="S63" s="5">
        <f>Recipes!U16</f>
        <v>0.13376715555651317</v>
      </c>
      <c r="T63" s="5" t="str">
        <f t="shared" si="33"/>
        <v>Oz</v>
      </c>
      <c r="U63" s="5">
        <f t="shared" si="34"/>
        <v>0.26753431111302634</v>
      </c>
    </row>
    <row r="64" spans="2:21" x14ac:dyDescent="0.35">
      <c r="B64" s="7" t="s">
        <v>340</v>
      </c>
      <c r="C64" s="7">
        <f>22/3</f>
        <v>7.333333333333333</v>
      </c>
      <c r="D64" s="7" t="s">
        <v>17</v>
      </c>
      <c r="E64" s="5">
        <f>E7</f>
        <v>3.3574516898448738E-2</v>
      </c>
      <c r="F64" s="5" t="str">
        <f>D64</f>
        <v>Oz</v>
      </c>
      <c r="G64" s="5">
        <f>C64*E64</f>
        <v>0.24621312392195741</v>
      </c>
      <c r="I64" s="7" t="s">
        <v>251</v>
      </c>
      <c r="J64" s="7">
        <v>1</v>
      </c>
      <c r="K64" s="7" t="s">
        <v>251</v>
      </c>
      <c r="L64" s="5">
        <f>L7</f>
        <v>0.33333333333333331</v>
      </c>
      <c r="M64" s="5" t="str">
        <f>K64</f>
        <v>Wrap</v>
      </c>
      <c r="N64" s="5">
        <f>J64*L64</f>
        <v>0.33333333333333331</v>
      </c>
      <c r="P64" s="7" t="s">
        <v>232</v>
      </c>
      <c r="Q64" s="7">
        <f>4*(5/9)</f>
        <v>2.2222222222222223</v>
      </c>
      <c r="R64" s="7" t="s">
        <v>17</v>
      </c>
      <c r="S64" s="5">
        <f>L15</f>
        <v>7.2727272727272724E-2</v>
      </c>
      <c r="T64" s="5" t="str">
        <f t="shared" si="33"/>
        <v>Oz</v>
      </c>
      <c r="U64" s="5">
        <f t="shared" si="34"/>
        <v>0.1616161616161616</v>
      </c>
    </row>
    <row r="65" spans="2:21" x14ac:dyDescent="0.35">
      <c r="B65" s="7" t="s">
        <v>88</v>
      </c>
      <c r="C65" s="7">
        <v>5</v>
      </c>
      <c r="D65" s="7" t="s">
        <v>128</v>
      </c>
      <c r="E65" s="5">
        <f>U7</f>
        <v>0.23137019230769232</v>
      </c>
      <c r="F65" s="5" t="str">
        <f t="shared" ref="F65:F74" si="35">D65</f>
        <v>Slice</v>
      </c>
      <c r="G65" s="5">
        <f t="shared" ref="G65:G74" si="36">C65*E65</f>
        <v>1.1568509615384617</v>
      </c>
      <c r="I65" s="7" t="s">
        <v>88</v>
      </c>
      <c r="J65" s="7">
        <v>5</v>
      </c>
      <c r="K65" s="7" t="s">
        <v>128</v>
      </c>
      <c r="L65" s="5">
        <f>U7</f>
        <v>0.23137019230769232</v>
      </c>
      <c r="M65" s="5" t="str">
        <f t="shared" ref="M65:M74" si="37">K65</f>
        <v>Slice</v>
      </c>
      <c r="N65" s="5">
        <f t="shared" ref="N65:N74" si="38">J65*L65</f>
        <v>1.1568509615384617</v>
      </c>
      <c r="P65" s="7" t="s">
        <v>233</v>
      </c>
      <c r="Q65" s="7">
        <f>4*(4/9)</f>
        <v>1.7777777777777777</v>
      </c>
      <c r="R65" s="7" t="s">
        <v>17</v>
      </c>
      <c r="S65" s="5">
        <f t="shared" ref="S65:S69" si="39">L16</f>
        <v>9.7537878787878798E-2</v>
      </c>
      <c r="T65" s="5" t="str">
        <f t="shared" si="33"/>
        <v>Oz</v>
      </c>
      <c r="U65" s="5">
        <f t="shared" si="34"/>
        <v>0.17340067340067342</v>
      </c>
    </row>
    <row r="66" spans="2:21" x14ac:dyDescent="0.35">
      <c r="B66" s="7" t="s">
        <v>341</v>
      </c>
      <c r="C66" s="7">
        <v>3</v>
      </c>
      <c r="D66" s="7" t="s">
        <v>128</v>
      </c>
      <c r="E66" s="5">
        <f>U11</f>
        <v>0.12515625</v>
      </c>
      <c r="F66" s="5" t="str">
        <f t="shared" si="35"/>
        <v>Slice</v>
      </c>
      <c r="G66" s="5">
        <f t="shared" si="36"/>
        <v>0.37546875000000002</v>
      </c>
      <c r="I66" s="7" t="s">
        <v>341</v>
      </c>
      <c r="J66" s="7">
        <v>3</v>
      </c>
      <c r="K66" s="7" t="s">
        <v>128</v>
      </c>
      <c r="L66" s="5">
        <f>U11</f>
        <v>0.12515625</v>
      </c>
      <c r="M66" s="5" t="str">
        <f t="shared" si="37"/>
        <v>Slice</v>
      </c>
      <c r="N66" s="5">
        <f t="shared" si="38"/>
        <v>0.37546875000000002</v>
      </c>
      <c r="P66" s="7" t="s">
        <v>92</v>
      </c>
      <c r="Q66" s="7">
        <f t="shared" ref="Q66:Q69" si="40">J17</f>
        <v>0.82499999999999996</v>
      </c>
      <c r="R66" s="87" t="s">
        <v>17</v>
      </c>
      <c r="S66" s="5">
        <f t="shared" si="39"/>
        <v>2.75E-2</v>
      </c>
      <c r="T66" s="88" t="str">
        <f t="shared" si="33"/>
        <v>Oz</v>
      </c>
      <c r="U66" s="5">
        <f t="shared" si="34"/>
        <v>2.2687499999999999E-2</v>
      </c>
    </row>
    <row r="67" spans="2:21" x14ac:dyDescent="0.35">
      <c r="B67" s="7" t="s">
        <v>276</v>
      </c>
      <c r="C67" s="7">
        <v>1</v>
      </c>
      <c r="D67" s="7" t="s">
        <v>17</v>
      </c>
      <c r="E67" s="5">
        <f>E11</f>
        <v>4.9785156249999997E-2</v>
      </c>
      <c r="F67" s="5" t="str">
        <f t="shared" si="35"/>
        <v>Oz</v>
      </c>
      <c r="G67" s="5">
        <f t="shared" si="36"/>
        <v>4.9785156249999997E-2</v>
      </c>
      <c r="I67" s="7" t="s">
        <v>276</v>
      </c>
      <c r="J67" s="7">
        <v>1</v>
      </c>
      <c r="K67" s="7" t="s">
        <v>17</v>
      </c>
      <c r="L67" s="5">
        <f>L11</f>
        <v>4.9785156249999997E-2</v>
      </c>
      <c r="M67" s="5" t="str">
        <f t="shared" si="37"/>
        <v>Oz</v>
      </c>
      <c r="N67" s="5">
        <f t="shared" si="38"/>
        <v>4.9785156249999997E-2</v>
      </c>
      <c r="P67" s="7" t="s">
        <v>342</v>
      </c>
      <c r="Q67" s="7">
        <f t="shared" si="40"/>
        <v>2.625</v>
      </c>
      <c r="R67" s="7" t="s">
        <v>17</v>
      </c>
      <c r="S67" s="5">
        <f t="shared" si="39"/>
        <v>0.1</v>
      </c>
      <c r="T67" s="5" t="str">
        <f t="shared" si="33"/>
        <v>Oz</v>
      </c>
      <c r="U67" s="5">
        <f t="shared" si="34"/>
        <v>0.26250000000000001</v>
      </c>
    </row>
    <row r="68" spans="2:21" x14ac:dyDescent="0.35">
      <c r="B68" s="7" t="s">
        <v>344</v>
      </c>
      <c r="C68" s="7">
        <f>C12</f>
        <v>1</v>
      </c>
      <c r="D68" s="7" t="s">
        <v>17</v>
      </c>
      <c r="E68" s="5">
        <f t="shared" ref="E68:E76" si="41">E12</f>
        <v>0.15319098598213757</v>
      </c>
      <c r="F68" s="5" t="str">
        <f t="shared" si="35"/>
        <v>Oz</v>
      </c>
      <c r="G68" s="5">
        <f t="shared" si="36"/>
        <v>0.15319098598213757</v>
      </c>
      <c r="I68" s="7" t="s">
        <v>344</v>
      </c>
      <c r="J68" s="7">
        <f>J12</f>
        <v>1</v>
      </c>
      <c r="K68" s="7" t="s">
        <v>17</v>
      </c>
      <c r="L68" s="5">
        <f t="shared" ref="L68:L76" si="42">L12</f>
        <v>0.15319098598213757</v>
      </c>
      <c r="M68" s="5" t="str">
        <f t="shared" si="37"/>
        <v>Oz</v>
      </c>
      <c r="N68" s="5">
        <f t="shared" si="38"/>
        <v>0.15319098598213757</v>
      </c>
      <c r="P68" s="7" t="s">
        <v>302</v>
      </c>
      <c r="Q68" s="7">
        <f t="shared" si="40"/>
        <v>18</v>
      </c>
      <c r="R68" s="7" t="s">
        <v>346</v>
      </c>
      <c r="S68" s="5">
        <f t="shared" si="39"/>
        <v>2.1658333333333334E-3</v>
      </c>
      <c r="T68" s="5" t="str">
        <f>R68</f>
        <v>Inch</v>
      </c>
      <c r="U68" s="5">
        <f>Q68*S68</f>
        <v>3.8984999999999999E-2</v>
      </c>
    </row>
    <row r="69" spans="2:21" x14ac:dyDescent="0.35">
      <c r="B69" s="7" t="s">
        <v>345</v>
      </c>
      <c r="C69" s="7">
        <f t="shared" ref="C69:C75" si="43">C13</f>
        <v>1</v>
      </c>
      <c r="D69" s="7" t="s">
        <v>17</v>
      </c>
      <c r="E69" s="5">
        <f t="shared" si="41"/>
        <v>1.85546875E-2</v>
      </c>
      <c r="F69" s="5" t="str">
        <f t="shared" si="35"/>
        <v>Oz</v>
      </c>
      <c r="G69" s="5">
        <f t="shared" si="36"/>
        <v>1.85546875E-2</v>
      </c>
      <c r="I69" s="7" t="s">
        <v>345</v>
      </c>
      <c r="J69" s="7">
        <f t="shared" ref="J69:J75" si="44">J13</f>
        <v>1</v>
      </c>
      <c r="K69" s="7" t="s">
        <v>17</v>
      </c>
      <c r="L69" s="5">
        <f t="shared" si="42"/>
        <v>1.85546875E-2</v>
      </c>
      <c r="M69" s="5" t="str">
        <f t="shared" si="37"/>
        <v>Oz</v>
      </c>
      <c r="N69" s="5">
        <f t="shared" si="38"/>
        <v>1.85546875E-2</v>
      </c>
      <c r="P69" s="7" t="s">
        <v>343</v>
      </c>
      <c r="Q69" s="7">
        <f t="shared" si="40"/>
        <v>1</v>
      </c>
      <c r="R69" s="7" t="s">
        <v>292</v>
      </c>
      <c r="S69" s="5">
        <f t="shared" si="39"/>
        <v>0</v>
      </c>
      <c r="T69" s="5" t="str">
        <f>R69</f>
        <v>Count</v>
      </c>
      <c r="U69" s="5">
        <f>Q69*S69</f>
        <v>0</v>
      </c>
    </row>
    <row r="70" spans="2:21" x14ac:dyDescent="0.35">
      <c r="B70" s="7" t="s">
        <v>257</v>
      </c>
      <c r="C70" s="7">
        <f t="shared" si="43"/>
        <v>6.0000000000000001E-3</v>
      </c>
      <c r="D70" s="7" t="str">
        <f>D14</f>
        <v>Oz</v>
      </c>
      <c r="E70" s="5">
        <f t="shared" si="41"/>
        <v>1.2116666666666667</v>
      </c>
      <c r="F70" s="5" t="str">
        <f t="shared" si="35"/>
        <v>Oz</v>
      </c>
      <c r="G70" s="5">
        <f t="shared" si="36"/>
        <v>7.2700000000000004E-3</v>
      </c>
      <c r="I70" s="7" t="s">
        <v>257</v>
      </c>
      <c r="J70" s="7">
        <f t="shared" si="44"/>
        <v>6.0000000000000001E-3</v>
      </c>
      <c r="K70" s="7" t="str">
        <f>K14</f>
        <v>Oz</v>
      </c>
      <c r="L70" s="5">
        <f t="shared" si="42"/>
        <v>1.2116666666666667</v>
      </c>
      <c r="M70" s="5" t="str">
        <f t="shared" si="37"/>
        <v>Oz</v>
      </c>
      <c r="N70" s="5">
        <f t="shared" si="38"/>
        <v>7.2700000000000004E-3</v>
      </c>
    </row>
    <row r="71" spans="2:21" ht="15.5" x14ac:dyDescent="0.35">
      <c r="B71" s="7" t="s">
        <v>232</v>
      </c>
      <c r="C71" s="7">
        <f t="shared" si="43"/>
        <v>1.8055555555555556</v>
      </c>
      <c r="D71" s="7" t="s">
        <v>17</v>
      </c>
      <c r="E71" s="5">
        <f t="shared" si="41"/>
        <v>7.2727272727272724E-2</v>
      </c>
      <c r="F71" s="5" t="str">
        <f t="shared" si="35"/>
        <v>Oz</v>
      </c>
      <c r="G71" s="5">
        <f t="shared" si="36"/>
        <v>0.1313131313131313</v>
      </c>
      <c r="I71" s="7" t="s">
        <v>232</v>
      </c>
      <c r="J71" s="7">
        <f t="shared" si="44"/>
        <v>1.5277777777777777</v>
      </c>
      <c r="K71" s="7" t="s">
        <v>17</v>
      </c>
      <c r="L71" s="5">
        <f t="shared" si="42"/>
        <v>7.2727272727272724E-2</v>
      </c>
      <c r="M71" s="5" t="str">
        <f t="shared" si="37"/>
        <v>Oz</v>
      </c>
      <c r="N71" s="5">
        <f t="shared" si="38"/>
        <v>0.1111111111111111</v>
      </c>
      <c r="P71" s="119" t="s">
        <v>371</v>
      </c>
      <c r="Q71" s="120"/>
      <c r="R71" s="121"/>
      <c r="S71" s="122" t="s">
        <v>7</v>
      </c>
      <c r="T71" s="123"/>
      <c r="U71" s="30">
        <f>SUM(U75:U84)</f>
        <v>2.2052027001309238</v>
      </c>
    </row>
    <row r="72" spans="2:21" x14ac:dyDescent="0.35">
      <c r="B72" s="7" t="s">
        <v>233</v>
      </c>
      <c r="C72" s="7">
        <f t="shared" si="43"/>
        <v>1.4444444444444444</v>
      </c>
      <c r="D72" s="7" t="s">
        <v>17</v>
      </c>
      <c r="E72" s="5">
        <f t="shared" si="41"/>
        <v>9.7537878787878798E-2</v>
      </c>
      <c r="F72" s="5" t="str">
        <f t="shared" si="35"/>
        <v>Oz</v>
      </c>
      <c r="G72" s="5">
        <f t="shared" si="36"/>
        <v>0.14088804713804715</v>
      </c>
      <c r="I72" s="7" t="s">
        <v>233</v>
      </c>
      <c r="J72" s="7">
        <f t="shared" si="44"/>
        <v>1.2222222222222223</v>
      </c>
      <c r="K72" s="7" t="s">
        <v>17</v>
      </c>
      <c r="L72" s="5">
        <f t="shared" si="42"/>
        <v>9.7537878787878798E-2</v>
      </c>
      <c r="M72" s="5" t="str">
        <f t="shared" si="37"/>
        <v>Oz</v>
      </c>
      <c r="N72" s="5">
        <f t="shared" si="38"/>
        <v>0.11921296296296298</v>
      </c>
      <c r="P72" s="9"/>
      <c r="U72" s="8"/>
    </row>
    <row r="73" spans="2:21" x14ac:dyDescent="0.35">
      <c r="B73" s="7" t="s">
        <v>92</v>
      </c>
      <c r="C73" s="7">
        <f t="shared" si="43"/>
        <v>1.125</v>
      </c>
      <c r="D73" s="87" t="s">
        <v>17</v>
      </c>
      <c r="E73" s="5">
        <f t="shared" si="41"/>
        <v>2.75E-2</v>
      </c>
      <c r="F73" s="88" t="str">
        <f t="shared" si="35"/>
        <v>Oz</v>
      </c>
      <c r="G73" s="5">
        <f t="shared" si="36"/>
        <v>3.09375E-2</v>
      </c>
      <c r="I73" s="7" t="s">
        <v>92</v>
      </c>
      <c r="J73" s="7">
        <f t="shared" si="44"/>
        <v>0.82499999999999996</v>
      </c>
      <c r="K73" s="87" t="s">
        <v>17</v>
      </c>
      <c r="L73" s="5">
        <f t="shared" si="42"/>
        <v>2.75E-2</v>
      </c>
      <c r="M73" s="88" t="str">
        <f t="shared" si="37"/>
        <v>Oz</v>
      </c>
      <c r="N73" s="5">
        <f t="shared" si="38"/>
        <v>2.2687499999999999E-2</v>
      </c>
      <c r="P73" s="10"/>
      <c r="Q73" s="124" t="s">
        <v>13</v>
      </c>
      <c r="R73" s="125"/>
      <c r="S73" s="124" t="s">
        <v>14</v>
      </c>
      <c r="T73" s="125"/>
      <c r="U73" s="5" t="s">
        <v>6</v>
      </c>
    </row>
    <row r="74" spans="2:21" x14ac:dyDescent="0.35">
      <c r="B74" s="7" t="s">
        <v>342</v>
      </c>
      <c r="C74" s="7">
        <f t="shared" si="43"/>
        <v>2.625</v>
      </c>
      <c r="D74" s="7" t="s">
        <v>17</v>
      </c>
      <c r="E74" s="5">
        <f t="shared" si="41"/>
        <v>0.1</v>
      </c>
      <c r="F74" s="5" t="str">
        <f t="shared" si="35"/>
        <v>Oz</v>
      </c>
      <c r="G74" s="5">
        <f t="shared" si="36"/>
        <v>0.26250000000000001</v>
      </c>
      <c r="I74" s="7" t="s">
        <v>342</v>
      </c>
      <c r="J74" s="7">
        <f t="shared" si="44"/>
        <v>2.625</v>
      </c>
      <c r="K74" s="7" t="s">
        <v>17</v>
      </c>
      <c r="L74" s="5">
        <f t="shared" si="42"/>
        <v>0.1</v>
      </c>
      <c r="M74" s="5" t="str">
        <f t="shared" si="37"/>
        <v>Oz</v>
      </c>
      <c r="N74" s="5">
        <f t="shared" si="38"/>
        <v>0.26250000000000001</v>
      </c>
      <c r="P74" s="5" t="s">
        <v>10</v>
      </c>
      <c r="Q74" s="5" t="s">
        <v>2</v>
      </c>
      <c r="R74" s="5" t="s">
        <v>1</v>
      </c>
      <c r="S74" s="5" t="s">
        <v>11</v>
      </c>
      <c r="T74" s="5" t="s">
        <v>1</v>
      </c>
      <c r="U74" s="5" t="s">
        <v>15</v>
      </c>
    </row>
    <row r="75" spans="2:21" x14ac:dyDescent="0.35">
      <c r="B75" s="7" t="s">
        <v>302</v>
      </c>
      <c r="C75" s="7">
        <f t="shared" si="43"/>
        <v>18</v>
      </c>
      <c r="D75" s="7" t="s">
        <v>346</v>
      </c>
      <c r="E75" s="5">
        <f t="shared" si="41"/>
        <v>2.1658333333333334E-3</v>
      </c>
      <c r="F75" s="5" t="str">
        <f>D75</f>
        <v>Inch</v>
      </c>
      <c r="G75" s="5">
        <f>C75*E75</f>
        <v>3.8984999999999999E-2</v>
      </c>
      <c r="I75" s="7" t="s">
        <v>302</v>
      </c>
      <c r="J75" s="7">
        <f t="shared" si="44"/>
        <v>18</v>
      </c>
      <c r="K75" s="7" t="s">
        <v>346</v>
      </c>
      <c r="L75" s="5">
        <f t="shared" si="42"/>
        <v>2.1658333333333334E-3</v>
      </c>
      <c r="M75" s="5" t="str">
        <f>K75</f>
        <v>Inch</v>
      </c>
      <c r="N75" s="5">
        <f>J75*L75</f>
        <v>3.8984999999999999E-2</v>
      </c>
      <c r="P75" s="7" t="s">
        <v>251</v>
      </c>
      <c r="Q75" s="7">
        <v>1</v>
      </c>
      <c r="R75" s="7" t="s">
        <v>251</v>
      </c>
      <c r="S75" s="90">
        <f>L7</f>
        <v>0.33333333333333331</v>
      </c>
      <c r="T75" s="5" t="str">
        <f>R75</f>
        <v>Wrap</v>
      </c>
      <c r="U75" s="5">
        <f>Q75*S75</f>
        <v>0.33333333333333331</v>
      </c>
    </row>
    <row r="76" spans="2:21" x14ac:dyDescent="0.35">
      <c r="B76" s="7" t="s">
        <v>343</v>
      </c>
      <c r="C76" s="7">
        <v>1</v>
      </c>
      <c r="D76" s="7" t="s">
        <v>292</v>
      </c>
      <c r="E76" s="5">
        <f t="shared" si="41"/>
        <v>0</v>
      </c>
      <c r="F76" s="5" t="str">
        <f>D76</f>
        <v>Count</v>
      </c>
      <c r="G76" s="5">
        <f>C76*E76</f>
        <v>0</v>
      </c>
      <c r="I76" s="7" t="s">
        <v>343</v>
      </c>
      <c r="J76" s="7">
        <v>1</v>
      </c>
      <c r="K76" s="7" t="s">
        <v>292</v>
      </c>
      <c r="L76" s="5">
        <f t="shared" si="42"/>
        <v>0</v>
      </c>
      <c r="M76" s="5" t="str">
        <f>K76</f>
        <v>Count</v>
      </c>
      <c r="N76" s="5">
        <f>J76*L76</f>
        <v>0</v>
      </c>
      <c r="P76" s="7" t="s">
        <v>232</v>
      </c>
      <c r="Q76" s="7">
        <f>Q64</f>
        <v>2.2222222222222223</v>
      </c>
      <c r="R76" s="7" t="s">
        <v>17</v>
      </c>
      <c r="S76" s="90">
        <f>L15</f>
        <v>7.2727272727272724E-2</v>
      </c>
      <c r="T76" s="5" t="str">
        <f>R76</f>
        <v>Oz</v>
      </c>
      <c r="U76" s="5">
        <f>Q76*S76</f>
        <v>0.1616161616161616</v>
      </c>
    </row>
    <row r="77" spans="2:21" x14ac:dyDescent="0.35">
      <c r="P77" s="7" t="s">
        <v>233</v>
      </c>
      <c r="Q77" s="7">
        <f>Q65</f>
        <v>1.7777777777777777</v>
      </c>
      <c r="R77" s="7" t="s">
        <v>17</v>
      </c>
      <c r="S77" s="90">
        <f>L16</f>
        <v>9.7537878787878798E-2</v>
      </c>
      <c r="T77" s="5" t="str">
        <f t="shared" ref="T77:T81" si="45">R77</f>
        <v>Oz</v>
      </c>
      <c r="U77" s="5">
        <f t="shared" ref="U77" si="46">Q77*S77</f>
        <v>0.17340067340067342</v>
      </c>
    </row>
    <row r="78" spans="2:21" ht="15.5" x14ac:dyDescent="0.35">
      <c r="B78" s="119" t="s">
        <v>356</v>
      </c>
      <c r="C78" s="120"/>
      <c r="D78" s="121"/>
      <c r="E78" s="122" t="s">
        <v>7</v>
      </c>
      <c r="F78" s="123"/>
      <c r="G78" s="30">
        <f>SUM(G82:G96)</f>
        <v>3.0690223793324081</v>
      </c>
      <c r="I78" s="119" t="s">
        <v>357</v>
      </c>
      <c r="J78" s="120"/>
      <c r="K78" s="121"/>
      <c r="L78" s="122" t="s">
        <v>7</v>
      </c>
      <c r="M78" s="123"/>
      <c r="N78" s="30">
        <f>SUM(N82:N96)</f>
        <v>3.1060154843666794</v>
      </c>
      <c r="P78" s="7" t="s">
        <v>288</v>
      </c>
      <c r="Q78" s="7">
        <v>1.75</v>
      </c>
      <c r="R78" s="7" t="s">
        <v>17</v>
      </c>
      <c r="S78" s="90">
        <f>Salad!S26</f>
        <v>0.06</v>
      </c>
      <c r="T78" s="5" t="str">
        <f t="shared" si="45"/>
        <v>Oz</v>
      </c>
      <c r="U78" s="5">
        <f>Q78*S78</f>
        <v>0.105</v>
      </c>
    </row>
    <row r="79" spans="2:21" x14ac:dyDescent="0.35">
      <c r="B79" s="9"/>
      <c r="G79" s="8"/>
      <c r="I79" s="9"/>
      <c r="N79" s="8"/>
      <c r="P79" s="7" t="s">
        <v>146</v>
      </c>
      <c r="Q79" s="7">
        <v>0.875</v>
      </c>
      <c r="R79" s="7" t="s">
        <v>17</v>
      </c>
      <c r="S79" s="90">
        <f>Salad!S27</f>
        <v>8.7187500000000001E-2</v>
      </c>
      <c r="T79" s="5" t="str">
        <f t="shared" si="45"/>
        <v>Oz</v>
      </c>
      <c r="U79" s="5">
        <f>Q79*S79</f>
        <v>7.6289062500000004E-2</v>
      </c>
    </row>
    <row r="80" spans="2:21" x14ac:dyDescent="0.35">
      <c r="B80" s="10"/>
      <c r="C80" s="124" t="s">
        <v>13</v>
      </c>
      <c r="D80" s="125"/>
      <c r="E80" s="124" t="s">
        <v>14</v>
      </c>
      <c r="F80" s="125"/>
      <c r="G80" s="5" t="s">
        <v>6</v>
      </c>
      <c r="I80" s="10"/>
      <c r="J80" s="124" t="s">
        <v>13</v>
      </c>
      <c r="K80" s="125"/>
      <c r="L80" s="124" t="s">
        <v>14</v>
      </c>
      <c r="M80" s="125"/>
      <c r="N80" s="5" t="s">
        <v>6</v>
      </c>
      <c r="P80" s="7" t="s">
        <v>327</v>
      </c>
      <c r="Q80" s="7">
        <v>1.25</v>
      </c>
      <c r="R80" s="7" t="s">
        <v>17</v>
      </c>
      <c r="S80" s="90">
        <f>Salad!S28</f>
        <v>0.625</v>
      </c>
      <c r="T80" s="5" t="str">
        <f t="shared" si="45"/>
        <v>Oz</v>
      </c>
      <c r="U80" s="5">
        <f t="shared" ref="U80:U81" si="47">Q80*S80</f>
        <v>0.78125</v>
      </c>
    </row>
    <row r="81" spans="2:21" x14ac:dyDescent="0.35">
      <c r="B81" s="5" t="s">
        <v>10</v>
      </c>
      <c r="C81" s="5" t="s">
        <v>2</v>
      </c>
      <c r="D81" s="5" t="s">
        <v>1</v>
      </c>
      <c r="E81" s="5" t="s">
        <v>11</v>
      </c>
      <c r="F81" s="5" t="s">
        <v>1</v>
      </c>
      <c r="G81" s="5" t="s">
        <v>15</v>
      </c>
      <c r="I81" s="5" t="s">
        <v>10</v>
      </c>
      <c r="J81" s="5" t="s">
        <v>2</v>
      </c>
      <c r="K81" s="5" t="s">
        <v>1</v>
      </c>
      <c r="L81" s="5" t="s">
        <v>11</v>
      </c>
      <c r="M81" s="5" t="s">
        <v>1</v>
      </c>
      <c r="N81" s="5" t="s">
        <v>15</v>
      </c>
      <c r="P81" s="7" t="s">
        <v>148</v>
      </c>
      <c r="Q81" s="7">
        <v>2</v>
      </c>
      <c r="R81" s="7" t="s">
        <v>17</v>
      </c>
      <c r="S81" s="90">
        <f>Salad!S29</f>
        <v>0.21484375</v>
      </c>
      <c r="T81" s="5" t="str">
        <f t="shared" si="45"/>
        <v>Oz</v>
      </c>
      <c r="U81" s="5">
        <f t="shared" si="47"/>
        <v>0.4296875</v>
      </c>
    </row>
    <row r="82" spans="2:21" x14ac:dyDescent="0.35">
      <c r="B82" s="7" t="s">
        <v>340</v>
      </c>
      <c r="C82" s="7">
        <f>22/3</f>
        <v>7.333333333333333</v>
      </c>
      <c r="D82" s="7" t="s">
        <v>17</v>
      </c>
      <c r="E82" s="5">
        <f>E7</f>
        <v>3.3574516898448738E-2</v>
      </c>
      <c r="F82" s="5" t="str">
        <f>D82</f>
        <v>Oz</v>
      </c>
      <c r="G82" s="5">
        <f>C82*E82</f>
        <v>0.24621312392195741</v>
      </c>
      <c r="I82" s="7" t="s">
        <v>251</v>
      </c>
      <c r="J82" s="7">
        <v>1</v>
      </c>
      <c r="K82" s="7" t="s">
        <v>251</v>
      </c>
      <c r="L82" s="5">
        <f>L7</f>
        <v>0.33333333333333331</v>
      </c>
      <c r="M82" s="5" t="str">
        <f>K82</f>
        <v>Wrap</v>
      </c>
      <c r="N82" s="5">
        <f>J82*L82</f>
        <v>0.33333333333333331</v>
      </c>
      <c r="P82" s="7" t="s">
        <v>149</v>
      </c>
      <c r="Q82" s="7">
        <v>1.5</v>
      </c>
      <c r="R82" s="7" t="s">
        <v>17</v>
      </c>
      <c r="S82" s="90">
        <f>Recipes!U37</f>
        <v>7.0427312853837354E-2</v>
      </c>
      <c r="T82" s="5" t="str">
        <f>R82</f>
        <v>Oz</v>
      </c>
      <c r="U82" s="5">
        <f>Q82*S82</f>
        <v>0.10564096928075603</v>
      </c>
    </row>
    <row r="83" spans="2:21" x14ac:dyDescent="0.35">
      <c r="B83" s="7" t="s">
        <v>88</v>
      </c>
      <c r="C83" s="7">
        <v>3</v>
      </c>
      <c r="D83" s="7" t="s">
        <v>128</v>
      </c>
      <c r="E83" s="5">
        <f>U7</f>
        <v>0.23137019230769232</v>
      </c>
      <c r="F83" s="5" t="str">
        <f t="shared" ref="F83:F94" si="48">D83</f>
        <v>Slice</v>
      </c>
      <c r="G83" s="5">
        <f t="shared" ref="G83:G94" si="49">C83*E83</f>
        <v>0.69411057692307698</v>
      </c>
      <c r="I83" s="7" t="s">
        <v>88</v>
      </c>
      <c r="J83" s="7">
        <v>3</v>
      </c>
      <c r="K83" s="7" t="s">
        <v>128</v>
      </c>
      <c r="L83" s="5">
        <f>U7</f>
        <v>0.23137019230769232</v>
      </c>
      <c r="M83" s="5" t="str">
        <f t="shared" ref="M83:M94" si="50">K83</f>
        <v>Slice</v>
      </c>
      <c r="N83" s="5">
        <f t="shared" ref="N83:N94" si="51">J83*L83</f>
        <v>0.69411057692307698</v>
      </c>
      <c r="P83" s="7" t="s">
        <v>302</v>
      </c>
      <c r="Q83" s="7">
        <f>J19</f>
        <v>18</v>
      </c>
      <c r="R83" s="7" t="s">
        <v>346</v>
      </c>
      <c r="S83" s="5">
        <f>L19</f>
        <v>2.1658333333333334E-3</v>
      </c>
      <c r="T83" s="5" t="str">
        <f>R83</f>
        <v>Inch</v>
      </c>
      <c r="U83" s="5">
        <f>Q83*S83</f>
        <v>3.8984999999999999E-2</v>
      </c>
    </row>
    <row r="84" spans="2:21" x14ac:dyDescent="0.35">
      <c r="B84" s="7" t="s">
        <v>94</v>
      </c>
      <c r="C84" s="7">
        <v>4</v>
      </c>
      <c r="D84" s="7" t="s">
        <v>128</v>
      </c>
      <c r="E84" s="5">
        <f>U8</f>
        <v>0.11081654294803818</v>
      </c>
      <c r="F84" s="5" t="str">
        <f t="shared" ref="F84:F85" si="52">D84</f>
        <v>Slice</v>
      </c>
      <c r="G84" s="5">
        <f t="shared" ref="G84:G85" si="53">C84*E84</f>
        <v>0.44326617179215272</v>
      </c>
      <c r="I84" s="7" t="s">
        <v>94</v>
      </c>
      <c r="J84" s="7">
        <v>4</v>
      </c>
      <c r="K84" s="7" t="s">
        <v>128</v>
      </c>
      <c r="L84" s="5">
        <f>U8</f>
        <v>0.11081654294803818</v>
      </c>
      <c r="M84" s="5" t="str">
        <f t="shared" ref="M84:M85" si="54">K84</f>
        <v>Slice</v>
      </c>
      <c r="N84" s="5">
        <f t="shared" ref="N84:N85" si="55">J84*L84</f>
        <v>0.44326617179215272</v>
      </c>
      <c r="P84" s="7" t="s">
        <v>343</v>
      </c>
      <c r="Q84" s="7">
        <f>J20</f>
        <v>1</v>
      </c>
      <c r="R84" s="7" t="s">
        <v>292</v>
      </c>
      <c r="S84" s="5">
        <f>L20</f>
        <v>0</v>
      </c>
      <c r="T84" s="5" t="str">
        <f>R84</f>
        <v>Count</v>
      </c>
      <c r="U84" s="5">
        <f>Q84*S84</f>
        <v>0</v>
      </c>
    </row>
    <row r="85" spans="2:21" x14ac:dyDescent="0.35">
      <c r="B85" s="7" t="s">
        <v>244</v>
      </c>
      <c r="C85" s="7">
        <v>3</v>
      </c>
      <c r="D85" s="7" t="s">
        <v>128</v>
      </c>
      <c r="E85" s="5">
        <f>U10</f>
        <v>0.15884641617063491</v>
      </c>
      <c r="F85" s="5" t="str">
        <f t="shared" si="52"/>
        <v>Slice</v>
      </c>
      <c r="G85" s="5">
        <f t="shared" si="53"/>
        <v>0.47653924851190477</v>
      </c>
      <c r="I85" s="7" t="s">
        <v>244</v>
      </c>
      <c r="J85" s="7">
        <v>3</v>
      </c>
      <c r="K85" s="7" t="s">
        <v>128</v>
      </c>
      <c r="L85" s="5">
        <f>U10</f>
        <v>0.15884641617063491</v>
      </c>
      <c r="M85" s="5" t="str">
        <f t="shared" si="54"/>
        <v>Slice</v>
      </c>
      <c r="N85" s="5">
        <f t="shared" si="55"/>
        <v>0.47653924851190477</v>
      </c>
    </row>
    <row r="86" spans="2:21" ht="15.5" x14ac:dyDescent="0.35">
      <c r="B86" s="7" t="s">
        <v>341</v>
      </c>
      <c r="C86" s="7">
        <v>3</v>
      </c>
      <c r="D86" s="7" t="s">
        <v>128</v>
      </c>
      <c r="E86" s="5">
        <f>U11</f>
        <v>0.12515625</v>
      </c>
      <c r="F86" s="5" t="str">
        <f t="shared" si="48"/>
        <v>Slice</v>
      </c>
      <c r="G86" s="5">
        <f t="shared" si="49"/>
        <v>0.37546875000000002</v>
      </c>
      <c r="I86" s="7" t="s">
        <v>341</v>
      </c>
      <c r="J86" s="7">
        <v>3</v>
      </c>
      <c r="K86" s="7" t="s">
        <v>128</v>
      </c>
      <c r="L86" s="5">
        <f>U11</f>
        <v>0.12515625</v>
      </c>
      <c r="M86" s="5" t="str">
        <f t="shared" si="50"/>
        <v>Slice</v>
      </c>
      <c r="N86" s="5">
        <f t="shared" si="51"/>
        <v>0.37546875000000002</v>
      </c>
      <c r="P86" s="119" t="s">
        <v>372</v>
      </c>
      <c r="Q86" s="120"/>
      <c r="R86" s="121"/>
      <c r="S86" s="122" t="s">
        <v>7</v>
      </c>
      <c r="T86" s="123"/>
      <c r="U86" s="30">
        <f>SUM(U90:U100)</f>
        <v>2.9961206688809239</v>
      </c>
    </row>
    <row r="87" spans="2:21" x14ac:dyDescent="0.35">
      <c r="B87" s="7" t="s">
        <v>276</v>
      </c>
      <c r="C87" s="7">
        <v>1</v>
      </c>
      <c r="D87" s="7" t="s">
        <v>17</v>
      </c>
      <c r="E87" s="5">
        <f>E11</f>
        <v>4.9785156249999997E-2</v>
      </c>
      <c r="F87" s="5" t="str">
        <f t="shared" si="48"/>
        <v>Oz</v>
      </c>
      <c r="G87" s="5">
        <f t="shared" si="49"/>
        <v>4.9785156249999997E-2</v>
      </c>
      <c r="I87" s="7" t="s">
        <v>276</v>
      </c>
      <c r="J87" s="7">
        <v>1</v>
      </c>
      <c r="K87" s="7" t="s">
        <v>17</v>
      </c>
      <c r="L87" s="5">
        <f>L11</f>
        <v>4.9785156249999997E-2</v>
      </c>
      <c r="M87" s="5" t="str">
        <f t="shared" si="50"/>
        <v>Oz</v>
      </c>
      <c r="N87" s="5">
        <f t="shared" si="51"/>
        <v>4.9785156249999997E-2</v>
      </c>
      <c r="P87" s="9"/>
      <c r="U87" s="8"/>
    </row>
    <row r="88" spans="2:21" x14ac:dyDescent="0.35">
      <c r="B88" s="7" t="s">
        <v>344</v>
      </c>
      <c r="C88" s="7">
        <f>C12</f>
        <v>1</v>
      </c>
      <c r="D88" s="7" t="s">
        <v>17</v>
      </c>
      <c r="E88" s="5">
        <f t="shared" ref="E88:E96" si="56">E12</f>
        <v>0.15319098598213757</v>
      </c>
      <c r="F88" s="5" t="str">
        <f t="shared" si="48"/>
        <v>Oz</v>
      </c>
      <c r="G88" s="5">
        <f t="shared" si="49"/>
        <v>0.15319098598213757</v>
      </c>
      <c r="I88" s="7" t="s">
        <v>344</v>
      </c>
      <c r="J88" s="7">
        <f>J12</f>
        <v>1</v>
      </c>
      <c r="K88" s="7" t="s">
        <v>17</v>
      </c>
      <c r="L88" s="5">
        <f t="shared" ref="L88:L96" si="57">L12</f>
        <v>0.15319098598213757</v>
      </c>
      <c r="M88" s="5" t="str">
        <f t="shared" si="50"/>
        <v>Oz</v>
      </c>
      <c r="N88" s="5">
        <f t="shared" si="51"/>
        <v>0.15319098598213757</v>
      </c>
      <c r="P88" s="10"/>
      <c r="Q88" s="124" t="s">
        <v>13</v>
      </c>
      <c r="R88" s="125"/>
      <c r="S88" s="124" t="s">
        <v>14</v>
      </c>
      <c r="T88" s="125"/>
      <c r="U88" s="5" t="s">
        <v>6</v>
      </c>
    </row>
    <row r="89" spans="2:21" x14ac:dyDescent="0.35">
      <c r="B89" s="7" t="s">
        <v>345</v>
      </c>
      <c r="C89" s="7">
        <f t="shared" ref="C89:C95" si="58">C13</f>
        <v>1</v>
      </c>
      <c r="D89" s="7" t="s">
        <v>17</v>
      </c>
      <c r="E89" s="5">
        <f t="shared" si="56"/>
        <v>1.85546875E-2</v>
      </c>
      <c r="F89" s="5" t="str">
        <f t="shared" si="48"/>
        <v>Oz</v>
      </c>
      <c r="G89" s="5">
        <f t="shared" si="49"/>
        <v>1.85546875E-2</v>
      </c>
      <c r="I89" s="7" t="s">
        <v>345</v>
      </c>
      <c r="J89" s="7">
        <f t="shared" ref="J89:J95" si="59">J13</f>
        <v>1</v>
      </c>
      <c r="K89" s="7" t="s">
        <v>17</v>
      </c>
      <c r="L89" s="5">
        <f t="shared" si="57"/>
        <v>1.85546875E-2</v>
      </c>
      <c r="M89" s="5" t="str">
        <f t="shared" si="50"/>
        <v>Oz</v>
      </c>
      <c r="N89" s="5">
        <f t="shared" si="51"/>
        <v>1.85546875E-2</v>
      </c>
      <c r="P89" s="5" t="s">
        <v>10</v>
      </c>
      <c r="Q89" s="5" t="s">
        <v>2</v>
      </c>
      <c r="R89" s="5" t="s">
        <v>1</v>
      </c>
      <c r="S89" s="5" t="s">
        <v>11</v>
      </c>
      <c r="T89" s="5" t="s">
        <v>1</v>
      </c>
      <c r="U89" s="5" t="s">
        <v>15</v>
      </c>
    </row>
    <row r="90" spans="2:21" x14ac:dyDescent="0.35">
      <c r="B90" s="7" t="s">
        <v>257</v>
      </c>
      <c r="C90" s="7">
        <f t="shared" si="58"/>
        <v>6.0000000000000001E-3</v>
      </c>
      <c r="D90" s="7" t="str">
        <f>D14</f>
        <v>Oz</v>
      </c>
      <c r="E90" s="5">
        <f t="shared" si="56"/>
        <v>1.2116666666666667</v>
      </c>
      <c r="F90" s="5" t="str">
        <f t="shared" si="48"/>
        <v>Oz</v>
      </c>
      <c r="G90" s="5">
        <f t="shared" si="49"/>
        <v>7.2700000000000004E-3</v>
      </c>
      <c r="I90" s="7" t="s">
        <v>257</v>
      </c>
      <c r="J90" s="7">
        <f t="shared" si="59"/>
        <v>6.0000000000000001E-3</v>
      </c>
      <c r="K90" s="7" t="str">
        <f>K14</f>
        <v>Oz</v>
      </c>
      <c r="L90" s="5">
        <f t="shared" si="57"/>
        <v>1.2116666666666667</v>
      </c>
      <c r="M90" s="5" t="str">
        <f t="shared" si="50"/>
        <v>Oz</v>
      </c>
      <c r="N90" s="5">
        <f t="shared" si="51"/>
        <v>7.2700000000000004E-3</v>
      </c>
      <c r="P90" s="7" t="s">
        <v>251</v>
      </c>
      <c r="Q90" s="7">
        <v>1</v>
      </c>
      <c r="R90" s="7" t="s">
        <v>251</v>
      </c>
      <c r="S90" s="90">
        <f>S75</f>
        <v>0.33333333333333331</v>
      </c>
      <c r="T90" s="5" t="str">
        <f>R90</f>
        <v>Wrap</v>
      </c>
      <c r="U90" s="5">
        <f>Q90*S90</f>
        <v>0.33333333333333331</v>
      </c>
    </row>
    <row r="91" spans="2:21" x14ac:dyDescent="0.35">
      <c r="B91" s="7" t="s">
        <v>232</v>
      </c>
      <c r="C91" s="7">
        <f t="shared" si="58"/>
        <v>1.8055555555555556</v>
      </c>
      <c r="D91" s="7" t="s">
        <v>17</v>
      </c>
      <c r="E91" s="5">
        <f t="shared" si="56"/>
        <v>7.2727272727272724E-2</v>
      </c>
      <c r="F91" s="5" t="str">
        <f t="shared" si="48"/>
        <v>Oz</v>
      </c>
      <c r="G91" s="5">
        <f t="shared" si="49"/>
        <v>0.1313131313131313</v>
      </c>
      <c r="I91" s="7" t="s">
        <v>232</v>
      </c>
      <c r="J91" s="7">
        <f t="shared" si="59"/>
        <v>1.5277777777777777</v>
      </c>
      <c r="K91" s="7" t="s">
        <v>17</v>
      </c>
      <c r="L91" s="5">
        <f t="shared" si="57"/>
        <v>7.2727272727272724E-2</v>
      </c>
      <c r="M91" s="5" t="str">
        <f t="shared" si="50"/>
        <v>Oz</v>
      </c>
      <c r="N91" s="5">
        <f t="shared" si="51"/>
        <v>0.1111111111111111</v>
      </c>
      <c r="P91" s="7" t="s">
        <v>232</v>
      </c>
      <c r="Q91" s="7">
        <f>Q76</f>
        <v>2.2222222222222223</v>
      </c>
      <c r="R91" s="7" t="s">
        <v>17</v>
      </c>
      <c r="S91" s="90">
        <f t="shared" ref="S91:S99" si="60">S76</f>
        <v>7.2727272727272724E-2</v>
      </c>
      <c r="T91" s="5" t="str">
        <f>R91</f>
        <v>Oz</v>
      </c>
      <c r="U91" s="5">
        <f>Q91*S91</f>
        <v>0.1616161616161616</v>
      </c>
    </row>
    <row r="92" spans="2:21" x14ac:dyDescent="0.35">
      <c r="B92" s="7" t="s">
        <v>233</v>
      </c>
      <c r="C92" s="7">
        <f t="shared" si="58"/>
        <v>1.4444444444444444</v>
      </c>
      <c r="D92" s="7" t="s">
        <v>17</v>
      </c>
      <c r="E92" s="5">
        <f t="shared" si="56"/>
        <v>9.7537878787878798E-2</v>
      </c>
      <c r="F92" s="5" t="str">
        <f t="shared" si="48"/>
        <v>Oz</v>
      </c>
      <c r="G92" s="5">
        <f t="shared" si="49"/>
        <v>0.14088804713804715</v>
      </c>
      <c r="I92" s="7" t="s">
        <v>233</v>
      </c>
      <c r="J92" s="7">
        <f t="shared" si="59"/>
        <v>1.2222222222222223</v>
      </c>
      <c r="K92" s="7" t="s">
        <v>17</v>
      </c>
      <c r="L92" s="5">
        <f t="shared" si="57"/>
        <v>9.7537878787878798E-2</v>
      </c>
      <c r="M92" s="5" t="str">
        <f t="shared" si="50"/>
        <v>Oz</v>
      </c>
      <c r="N92" s="5">
        <f t="shared" si="51"/>
        <v>0.11921296296296298</v>
      </c>
      <c r="P92" s="7" t="s">
        <v>233</v>
      </c>
      <c r="Q92" s="7">
        <f t="shared" ref="Q92:Q99" si="61">Q77</f>
        <v>1.7777777777777777</v>
      </c>
      <c r="R92" s="7" t="s">
        <v>17</v>
      </c>
      <c r="S92" s="90">
        <f t="shared" si="60"/>
        <v>9.7537878787878798E-2</v>
      </c>
      <c r="T92" s="5" t="str">
        <f t="shared" ref="T92:T96" si="62">R92</f>
        <v>Oz</v>
      </c>
      <c r="U92" s="5">
        <f t="shared" ref="U92" si="63">Q92*S92</f>
        <v>0.17340067340067342</v>
      </c>
    </row>
    <row r="93" spans="2:21" x14ac:dyDescent="0.35">
      <c r="B93" s="7" t="s">
        <v>92</v>
      </c>
      <c r="C93" s="7">
        <f t="shared" si="58"/>
        <v>1.125</v>
      </c>
      <c r="D93" s="87" t="s">
        <v>17</v>
      </c>
      <c r="E93" s="5">
        <f t="shared" si="56"/>
        <v>2.75E-2</v>
      </c>
      <c r="F93" s="88" t="str">
        <f t="shared" si="48"/>
        <v>Oz</v>
      </c>
      <c r="G93" s="5">
        <f t="shared" si="49"/>
        <v>3.09375E-2</v>
      </c>
      <c r="I93" s="7" t="s">
        <v>92</v>
      </c>
      <c r="J93" s="7">
        <f t="shared" si="59"/>
        <v>0.82499999999999996</v>
      </c>
      <c r="K93" s="87" t="s">
        <v>17</v>
      </c>
      <c r="L93" s="5">
        <f t="shared" si="57"/>
        <v>2.75E-2</v>
      </c>
      <c r="M93" s="88" t="str">
        <f t="shared" si="50"/>
        <v>Oz</v>
      </c>
      <c r="N93" s="5">
        <f t="shared" si="51"/>
        <v>2.2687499999999999E-2</v>
      </c>
      <c r="P93" s="7" t="s">
        <v>288</v>
      </c>
      <c r="Q93" s="7">
        <f t="shared" si="61"/>
        <v>1.75</v>
      </c>
      <c r="R93" s="7" t="s">
        <v>17</v>
      </c>
      <c r="S93" s="90">
        <f t="shared" si="60"/>
        <v>0.06</v>
      </c>
      <c r="T93" s="5" t="str">
        <f t="shared" si="62"/>
        <v>Oz</v>
      </c>
      <c r="U93" s="5">
        <f>Q93*S93</f>
        <v>0.105</v>
      </c>
    </row>
    <row r="94" spans="2:21" x14ac:dyDescent="0.35">
      <c r="B94" s="7" t="s">
        <v>342</v>
      </c>
      <c r="C94" s="7">
        <f t="shared" si="58"/>
        <v>2.625</v>
      </c>
      <c r="D94" s="7" t="s">
        <v>17</v>
      </c>
      <c r="E94" s="5">
        <f t="shared" si="56"/>
        <v>0.1</v>
      </c>
      <c r="F94" s="5" t="str">
        <f t="shared" si="48"/>
        <v>Oz</v>
      </c>
      <c r="G94" s="5">
        <f t="shared" si="49"/>
        <v>0.26250000000000001</v>
      </c>
      <c r="I94" s="7" t="s">
        <v>342</v>
      </c>
      <c r="J94" s="7">
        <f t="shared" si="59"/>
        <v>2.625</v>
      </c>
      <c r="K94" s="7" t="s">
        <v>17</v>
      </c>
      <c r="L94" s="5">
        <f t="shared" si="57"/>
        <v>0.1</v>
      </c>
      <c r="M94" s="5" t="str">
        <f t="shared" si="50"/>
        <v>Oz</v>
      </c>
      <c r="N94" s="5">
        <f t="shared" si="51"/>
        <v>0.26250000000000001</v>
      </c>
      <c r="P94" s="7" t="s">
        <v>146</v>
      </c>
      <c r="Q94" s="7">
        <f t="shared" si="61"/>
        <v>0.875</v>
      </c>
      <c r="R94" s="7" t="s">
        <v>17</v>
      </c>
      <c r="S94" s="90">
        <f t="shared" si="60"/>
        <v>8.7187500000000001E-2</v>
      </c>
      <c r="T94" s="5" t="str">
        <f t="shared" si="62"/>
        <v>Oz</v>
      </c>
      <c r="U94" s="5">
        <f>Q94*S94</f>
        <v>7.6289062500000004E-2</v>
      </c>
    </row>
    <row r="95" spans="2:21" x14ac:dyDescent="0.35">
      <c r="B95" s="7" t="s">
        <v>302</v>
      </c>
      <c r="C95" s="7">
        <f t="shared" si="58"/>
        <v>18</v>
      </c>
      <c r="D95" s="7" t="s">
        <v>346</v>
      </c>
      <c r="E95" s="5">
        <f t="shared" si="56"/>
        <v>2.1658333333333334E-3</v>
      </c>
      <c r="F95" s="5" t="str">
        <f>D95</f>
        <v>Inch</v>
      </c>
      <c r="G95" s="5">
        <f>C95*E95</f>
        <v>3.8984999999999999E-2</v>
      </c>
      <c r="I95" s="7" t="s">
        <v>302</v>
      </c>
      <c r="J95" s="7">
        <f t="shared" si="59"/>
        <v>18</v>
      </c>
      <c r="K95" s="7" t="s">
        <v>346</v>
      </c>
      <c r="L95" s="5">
        <f t="shared" si="57"/>
        <v>2.1658333333333334E-3</v>
      </c>
      <c r="M95" s="5" t="str">
        <f>K95</f>
        <v>Inch</v>
      </c>
      <c r="N95" s="5">
        <f>J95*L95</f>
        <v>3.8984999999999999E-2</v>
      </c>
      <c r="P95" s="7" t="s">
        <v>327</v>
      </c>
      <c r="Q95" s="7">
        <f t="shared" si="61"/>
        <v>1.25</v>
      </c>
      <c r="R95" s="7" t="s">
        <v>17</v>
      </c>
      <c r="S95" s="90">
        <f t="shared" si="60"/>
        <v>0.625</v>
      </c>
      <c r="T95" s="5" t="str">
        <f t="shared" si="62"/>
        <v>Oz</v>
      </c>
      <c r="U95" s="5">
        <f t="shared" ref="U95:U96" si="64">Q95*S95</f>
        <v>0.78125</v>
      </c>
    </row>
    <row r="96" spans="2:21" x14ac:dyDescent="0.35">
      <c r="B96" s="7" t="s">
        <v>343</v>
      </c>
      <c r="C96" s="7">
        <v>1</v>
      </c>
      <c r="D96" s="7" t="s">
        <v>292</v>
      </c>
      <c r="E96" s="5">
        <f t="shared" si="56"/>
        <v>0</v>
      </c>
      <c r="F96" s="5" t="str">
        <f>D96</f>
        <v>Count</v>
      </c>
      <c r="G96" s="5">
        <f>C96*E96</f>
        <v>0</v>
      </c>
      <c r="I96" s="7" t="s">
        <v>343</v>
      </c>
      <c r="J96" s="7">
        <v>1</v>
      </c>
      <c r="K96" s="7" t="s">
        <v>292</v>
      </c>
      <c r="L96" s="5">
        <f t="shared" si="57"/>
        <v>0</v>
      </c>
      <c r="M96" s="5" t="str">
        <f>K96</f>
        <v>Count</v>
      </c>
      <c r="N96" s="5">
        <f>J96*L96</f>
        <v>0</v>
      </c>
      <c r="P96" s="7" t="s">
        <v>148</v>
      </c>
      <c r="Q96" s="7">
        <f t="shared" si="61"/>
        <v>2</v>
      </c>
      <c r="R96" s="7" t="s">
        <v>17</v>
      </c>
      <c r="S96" s="90">
        <f t="shared" si="60"/>
        <v>0.21484375</v>
      </c>
      <c r="T96" s="5" t="str">
        <f t="shared" si="62"/>
        <v>Oz</v>
      </c>
      <c r="U96" s="5">
        <f t="shared" si="64"/>
        <v>0.4296875</v>
      </c>
    </row>
    <row r="97" spans="2:21" x14ac:dyDescent="0.35">
      <c r="P97" s="7" t="s">
        <v>149</v>
      </c>
      <c r="Q97" s="7">
        <f t="shared" si="61"/>
        <v>1.5</v>
      </c>
      <c r="R97" s="7" t="s">
        <v>17</v>
      </c>
      <c r="S97" s="90">
        <f t="shared" si="60"/>
        <v>7.0427312853837354E-2</v>
      </c>
      <c r="T97" s="5" t="str">
        <f>R97</f>
        <v>Oz</v>
      </c>
      <c r="U97" s="5">
        <f>Q97*S97</f>
        <v>0.10564096928075603</v>
      </c>
    </row>
    <row r="98" spans="2:21" ht="15.5" x14ac:dyDescent="0.35">
      <c r="B98" s="119" t="s">
        <v>358</v>
      </c>
      <c r="C98" s="120"/>
      <c r="D98" s="121"/>
      <c r="E98" s="122" t="s">
        <v>7</v>
      </c>
      <c r="F98" s="123"/>
      <c r="G98" s="30">
        <f>SUM(G102:G114)</f>
        <v>3.9067797571830325</v>
      </c>
      <c r="I98" s="119" t="s">
        <v>359</v>
      </c>
      <c r="J98" s="120"/>
      <c r="K98" s="121"/>
      <c r="L98" s="122" t="s">
        <v>7</v>
      </c>
      <c r="M98" s="123"/>
      <c r="N98" s="30">
        <f>SUM(N102:N114)</f>
        <v>3.1155048300964392</v>
      </c>
      <c r="P98" s="7" t="s">
        <v>302</v>
      </c>
      <c r="Q98" s="7">
        <f t="shared" si="61"/>
        <v>18</v>
      </c>
      <c r="R98" s="7" t="s">
        <v>346</v>
      </c>
      <c r="S98" s="90">
        <f t="shared" si="60"/>
        <v>2.1658333333333334E-3</v>
      </c>
      <c r="T98" s="5" t="str">
        <f>R98</f>
        <v>Inch</v>
      </c>
      <c r="U98" s="5">
        <f>Q98*S98</f>
        <v>3.8984999999999999E-2</v>
      </c>
    </row>
    <row r="99" spans="2:21" x14ac:dyDescent="0.35">
      <c r="B99" s="9"/>
      <c r="G99" s="8"/>
      <c r="I99" s="9"/>
      <c r="N99" s="8"/>
      <c r="P99" s="7" t="s">
        <v>343</v>
      </c>
      <c r="Q99" s="7">
        <f t="shared" si="61"/>
        <v>1</v>
      </c>
      <c r="R99" s="7" t="s">
        <v>292</v>
      </c>
      <c r="S99" s="90">
        <f t="shared" si="60"/>
        <v>0</v>
      </c>
      <c r="T99" s="5" t="str">
        <f>R99</f>
        <v>Count</v>
      </c>
      <c r="U99" s="5">
        <f>Q99*S99</f>
        <v>0</v>
      </c>
    </row>
    <row r="100" spans="2:21" x14ac:dyDescent="0.35">
      <c r="B100" s="10"/>
      <c r="C100" s="124" t="s">
        <v>13</v>
      </c>
      <c r="D100" s="125"/>
      <c r="E100" s="124" t="s">
        <v>14</v>
      </c>
      <c r="F100" s="125"/>
      <c r="G100" s="5" t="s">
        <v>6</v>
      </c>
      <c r="I100" s="10"/>
      <c r="J100" s="124" t="s">
        <v>13</v>
      </c>
      <c r="K100" s="125"/>
      <c r="L100" s="124" t="s">
        <v>14</v>
      </c>
      <c r="M100" s="125"/>
      <c r="N100" s="5" t="s">
        <v>6</v>
      </c>
      <c r="P100" s="7" t="s">
        <v>95</v>
      </c>
      <c r="Q100" s="7">
        <f>Q62</f>
        <v>6.25</v>
      </c>
      <c r="R100" s="7" t="s">
        <v>17</v>
      </c>
      <c r="S100" s="90">
        <f>S62</f>
        <v>0.126546875</v>
      </c>
      <c r="T100" s="5" t="str">
        <f>R100</f>
        <v>Oz</v>
      </c>
      <c r="U100" s="5">
        <f>Q100*S100</f>
        <v>0.79091796874999998</v>
      </c>
    </row>
    <row r="101" spans="2:21" x14ac:dyDescent="0.35">
      <c r="B101" s="5" t="s">
        <v>10</v>
      </c>
      <c r="C101" s="5" t="s">
        <v>2</v>
      </c>
      <c r="D101" s="5" t="s">
        <v>1</v>
      </c>
      <c r="E101" s="5" t="s">
        <v>11</v>
      </c>
      <c r="F101" s="5" t="s">
        <v>1</v>
      </c>
      <c r="G101" s="5" t="s">
        <v>15</v>
      </c>
      <c r="I101" s="5" t="s">
        <v>10</v>
      </c>
      <c r="J101" s="5" t="s">
        <v>2</v>
      </c>
      <c r="K101" s="5" t="s">
        <v>1</v>
      </c>
      <c r="L101" s="5" t="s">
        <v>11</v>
      </c>
      <c r="M101" s="5" t="s">
        <v>1</v>
      </c>
      <c r="N101" s="5" t="s">
        <v>15</v>
      </c>
    </row>
    <row r="102" spans="2:21" ht="15.5" x14ac:dyDescent="0.35">
      <c r="B102" s="7" t="s">
        <v>340</v>
      </c>
      <c r="C102" s="7">
        <f>22/3</f>
        <v>7.333333333333333</v>
      </c>
      <c r="D102" s="7" t="s">
        <v>17</v>
      </c>
      <c r="E102" s="5">
        <f>E7</f>
        <v>3.3574516898448738E-2</v>
      </c>
      <c r="F102" s="5" t="str">
        <f>D102</f>
        <v>Oz</v>
      </c>
      <c r="G102" s="5">
        <f>C102*E102</f>
        <v>0.24621312392195741</v>
      </c>
      <c r="I102" s="7" t="s">
        <v>251</v>
      </c>
      <c r="J102" s="7">
        <v>1</v>
      </c>
      <c r="K102" s="7" t="s">
        <v>251</v>
      </c>
      <c r="L102" s="5">
        <f>L7</f>
        <v>0.33333333333333331</v>
      </c>
      <c r="M102" s="5" t="str">
        <f>K102</f>
        <v>Wrap</v>
      </c>
      <c r="N102" s="5">
        <f>J102*L102</f>
        <v>0.33333333333333331</v>
      </c>
      <c r="P102" s="119" t="s">
        <v>373</v>
      </c>
      <c r="Q102" s="120"/>
      <c r="R102" s="121"/>
      <c r="S102" s="122" t="s">
        <v>7</v>
      </c>
      <c r="T102" s="123"/>
      <c r="U102" s="30">
        <f>SUM(U106:U116)</f>
        <v>3.7025241287023523</v>
      </c>
    </row>
    <row r="103" spans="2:21" x14ac:dyDescent="0.35">
      <c r="B103" s="7" t="s">
        <v>332</v>
      </c>
      <c r="C103" s="7">
        <v>9.25</v>
      </c>
      <c r="D103" s="7" t="s">
        <v>17</v>
      </c>
      <c r="E103" s="5">
        <f>Recipes!G38</f>
        <v>0.2650457702786766</v>
      </c>
      <c r="F103" s="5" t="str">
        <f t="shared" ref="F103:F112" si="65">D103</f>
        <v>Oz</v>
      </c>
      <c r="G103" s="5">
        <f t="shared" ref="G103:G112" si="66">C103*E103</f>
        <v>2.4516733750777586</v>
      </c>
      <c r="I103" s="7" t="s">
        <v>332</v>
      </c>
      <c r="J103" s="7">
        <v>6.125</v>
      </c>
      <c r="K103" s="7" t="s">
        <v>17</v>
      </c>
      <c r="L103" s="5">
        <f>E103</f>
        <v>0.2650457702786766</v>
      </c>
      <c r="M103" s="5" t="str">
        <f t="shared" ref="M103:M112" si="67">K103</f>
        <v>Oz</v>
      </c>
      <c r="N103" s="5">
        <f t="shared" ref="N103:N112" si="68">J103*L103</f>
        <v>1.6234053429568942</v>
      </c>
      <c r="P103" s="9"/>
      <c r="U103" s="8"/>
    </row>
    <row r="104" spans="2:21" x14ac:dyDescent="0.35">
      <c r="B104" s="7" t="s">
        <v>341</v>
      </c>
      <c r="C104" s="7">
        <v>3</v>
      </c>
      <c r="D104" s="7" t="s">
        <v>128</v>
      </c>
      <c r="E104" s="5">
        <f>U11</f>
        <v>0.12515625</v>
      </c>
      <c r="F104" s="5" t="str">
        <f t="shared" si="65"/>
        <v>Slice</v>
      </c>
      <c r="G104" s="5">
        <f t="shared" si="66"/>
        <v>0.37546875000000002</v>
      </c>
      <c r="I104" s="7" t="s">
        <v>341</v>
      </c>
      <c r="J104" s="7">
        <v>3</v>
      </c>
      <c r="K104" s="7" t="s">
        <v>128</v>
      </c>
      <c r="L104" s="5">
        <f>U11</f>
        <v>0.12515625</v>
      </c>
      <c r="M104" s="5" t="str">
        <f t="shared" si="67"/>
        <v>Slice</v>
      </c>
      <c r="N104" s="5">
        <f t="shared" si="68"/>
        <v>0.37546875000000002</v>
      </c>
      <c r="P104" s="10"/>
      <c r="Q104" s="124" t="s">
        <v>13</v>
      </c>
      <c r="R104" s="125"/>
      <c r="S104" s="124" t="s">
        <v>14</v>
      </c>
      <c r="T104" s="125"/>
      <c r="U104" s="5" t="s">
        <v>6</v>
      </c>
    </row>
    <row r="105" spans="2:21" x14ac:dyDescent="0.35">
      <c r="B105" s="7" t="s">
        <v>276</v>
      </c>
      <c r="C105" s="7">
        <v>1</v>
      </c>
      <c r="D105" s="7" t="s">
        <v>17</v>
      </c>
      <c r="E105" s="5">
        <f>E11</f>
        <v>4.9785156249999997E-2</v>
      </c>
      <c r="F105" s="5" t="str">
        <f t="shared" si="65"/>
        <v>Oz</v>
      </c>
      <c r="G105" s="5">
        <f t="shared" si="66"/>
        <v>4.9785156249999997E-2</v>
      </c>
      <c r="I105" s="7" t="s">
        <v>276</v>
      </c>
      <c r="J105" s="7">
        <v>1</v>
      </c>
      <c r="K105" s="7" t="s">
        <v>17</v>
      </c>
      <c r="L105" s="5">
        <f>L11</f>
        <v>4.9785156249999997E-2</v>
      </c>
      <c r="M105" s="5" t="str">
        <f t="shared" si="67"/>
        <v>Oz</v>
      </c>
      <c r="N105" s="5">
        <f t="shared" si="68"/>
        <v>4.9785156249999997E-2</v>
      </c>
      <c r="P105" s="5" t="s">
        <v>10</v>
      </c>
      <c r="Q105" s="5" t="s">
        <v>2</v>
      </c>
      <c r="R105" s="5" t="s">
        <v>1</v>
      </c>
      <c r="S105" s="5" t="s">
        <v>11</v>
      </c>
      <c r="T105" s="5" t="s">
        <v>1</v>
      </c>
      <c r="U105" s="5" t="s">
        <v>15</v>
      </c>
    </row>
    <row r="106" spans="2:21" x14ac:dyDescent="0.35">
      <c r="B106" s="7" t="s">
        <v>344</v>
      </c>
      <c r="C106" s="7">
        <f>C12</f>
        <v>1</v>
      </c>
      <c r="D106" s="7" t="s">
        <v>17</v>
      </c>
      <c r="E106" s="5">
        <f t="shared" ref="E106:E114" si="69">E12</f>
        <v>0.15319098598213757</v>
      </c>
      <c r="F106" s="5" t="str">
        <f t="shared" si="65"/>
        <v>Oz</v>
      </c>
      <c r="G106" s="5">
        <f t="shared" si="66"/>
        <v>0.15319098598213757</v>
      </c>
      <c r="I106" s="7" t="s">
        <v>344</v>
      </c>
      <c r="J106" s="7">
        <f>J12</f>
        <v>1</v>
      </c>
      <c r="K106" s="7" t="s">
        <v>17</v>
      </c>
      <c r="L106" s="5">
        <f t="shared" ref="L106:L114" si="70">L12</f>
        <v>0.15319098598213757</v>
      </c>
      <c r="M106" s="5" t="str">
        <f t="shared" si="67"/>
        <v>Oz</v>
      </c>
      <c r="N106" s="5">
        <f t="shared" si="68"/>
        <v>0.15319098598213757</v>
      </c>
      <c r="P106" s="7" t="s">
        <v>251</v>
      </c>
      <c r="Q106" s="7">
        <v>1</v>
      </c>
      <c r="R106" s="7" t="s">
        <v>251</v>
      </c>
      <c r="S106" s="90">
        <f>S90</f>
        <v>0.33333333333333331</v>
      </c>
      <c r="T106" s="5" t="str">
        <f>R106</f>
        <v>Wrap</v>
      </c>
      <c r="U106" s="5">
        <f>Q106*S106</f>
        <v>0.33333333333333331</v>
      </c>
    </row>
    <row r="107" spans="2:21" x14ac:dyDescent="0.35">
      <c r="B107" s="7" t="s">
        <v>345</v>
      </c>
      <c r="C107" s="7">
        <f t="shared" ref="C107:C113" si="71">C13</f>
        <v>1</v>
      </c>
      <c r="D107" s="7" t="s">
        <v>17</v>
      </c>
      <c r="E107" s="5">
        <f t="shared" si="69"/>
        <v>1.85546875E-2</v>
      </c>
      <c r="F107" s="5" t="str">
        <f t="shared" si="65"/>
        <v>Oz</v>
      </c>
      <c r="G107" s="5">
        <f t="shared" si="66"/>
        <v>1.85546875E-2</v>
      </c>
      <c r="I107" s="7" t="s">
        <v>345</v>
      </c>
      <c r="J107" s="7">
        <f t="shared" ref="J107:J113" si="72">J13</f>
        <v>1</v>
      </c>
      <c r="K107" s="7" t="s">
        <v>17</v>
      </c>
      <c r="L107" s="5">
        <f t="shared" si="70"/>
        <v>1.85546875E-2</v>
      </c>
      <c r="M107" s="5" t="str">
        <f t="shared" si="67"/>
        <v>Oz</v>
      </c>
      <c r="N107" s="5">
        <f t="shared" si="68"/>
        <v>1.85546875E-2</v>
      </c>
      <c r="P107" s="7" t="s">
        <v>232</v>
      </c>
      <c r="Q107" s="7">
        <f>Q91</f>
        <v>2.2222222222222223</v>
      </c>
      <c r="R107" s="7" t="s">
        <v>17</v>
      </c>
      <c r="S107" s="90">
        <f>S91</f>
        <v>7.2727272727272724E-2</v>
      </c>
      <c r="T107" s="5" t="str">
        <f>R107</f>
        <v>Oz</v>
      </c>
      <c r="U107" s="5">
        <f>Q107*S107</f>
        <v>0.1616161616161616</v>
      </c>
    </row>
    <row r="108" spans="2:21" x14ac:dyDescent="0.35">
      <c r="B108" s="7" t="s">
        <v>257</v>
      </c>
      <c r="C108" s="7">
        <f t="shared" si="71"/>
        <v>6.0000000000000001E-3</v>
      </c>
      <c r="D108" s="7" t="str">
        <f>D14</f>
        <v>Oz</v>
      </c>
      <c r="E108" s="5">
        <f t="shared" si="69"/>
        <v>1.2116666666666667</v>
      </c>
      <c r="F108" s="5" t="str">
        <f t="shared" si="65"/>
        <v>Oz</v>
      </c>
      <c r="G108" s="5">
        <f t="shared" si="66"/>
        <v>7.2700000000000004E-3</v>
      </c>
      <c r="I108" s="7" t="s">
        <v>257</v>
      </c>
      <c r="J108" s="7">
        <f t="shared" si="72"/>
        <v>6.0000000000000001E-3</v>
      </c>
      <c r="K108" s="7" t="str">
        <f>K14</f>
        <v>Oz</v>
      </c>
      <c r="L108" s="5">
        <f t="shared" si="70"/>
        <v>1.2116666666666667</v>
      </c>
      <c r="M108" s="5" t="str">
        <f t="shared" si="67"/>
        <v>Oz</v>
      </c>
      <c r="N108" s="5">
        <f t="shared" si="68"/>
        <v>7.2700000000000004E-3</v>
      </c>
      <c r="P108" s="7" t="s">
        <v>233</v>
      </c>
      <c r="Q108" s="7">
        <f t="shared" ref="Q108:Q115" si="73">Q92</f>
        <v>1.7777777777777777</v>
      </c>
      <c r="R108" s="7" t="s">
        <v>17</v>
      </c>
      <c r="S108" s="90">
        <f t="shared" ref="S108:S115" si="74">S92</f>
        <v>9.7537878787878798E-2</v>
      </c>
      <c r="T108" s="5" t="str">
        <f t="shared" ref="T108:T112" si="75">R108</f>
        <v>Oz</v>
      </c>
      <c r="U108" s="5">
        <f t="shared" ref="U108" si="76">Q108*S108</f>
        <v>0.17340067340067342</v>
      </c>
    </row>
    <row r="109" spans="2:21" x14ac:dyDescent="0.35">
      <c r="B109" s="7" t="s">
        <v>232</v>
      </c>
      <c r="C109" s="7">
        <f t="shared" si="71"/>
        <v>1.8055555555555556</v>
      </c>
      <c r="D109" s="7" t="s">
        <v>17</v>
      </c>
      <c r="E109" s="5">
        <f t="shared" si="69"/>
        <v>7.2727272727272724E-2</v>
      </c>
      <c r="F109" s="5" t="str">
        <f t="shared" si="65"/>
        <v>Oz</v>
      </c>
      <c r="G109" s="5">
        <f t="shared" si="66"/>
        <v>0.1313131313131313</v>
      </c>
      <c r="I109" s="7" t="s">
        <v>232</v>
      </c>
      <c r="J109" s="7">
        <f t="shared" si="72"/>
        <v>1.5277777777777777</v>
      </c>
      <c r="K109" s="7" t="s">
        <v>17</v>
      </c>
      <c r="L109" s="5">
        <f t="shared" si="70"/>
        <v>7.2727272727272724E-2</v>
      </c>
      <c r="M109" s="5" t="str">
        <f t="shared" si="67"/>
        <v>Oz</v>
      </c>
      <c r="N109" s="5">
        <f t="shared" si="68"/>
        <v>0.1111111111111111</v>
      </c>
      <c r="P109" s="7" t="s">
        <v>288</v>
      </c>
      <c r="Q109" s="7">
        <f t="shared" si="73"/>
        <v>1.75</v>
      </c>
      <c r="R109" s="7" t="s">
        <v>17</v>
      </c>
      <c r="S109" s="90">
        <f t="shared" si="74"/>
        <v>0.06</v>
      </c>
      <c r="T109" s="5" t="str">
        <f t="shared" si="75"/>
        <v>Oz</v>
      </c>
      <c r="U109" s="5">
        <f>Q109*S109</f>
        <v>0.105</v>
      </c>
    </row>
    <row r="110" spans="2:21" x14ac:dyDescent="0.35">
      <c r="B110" s="7" t="s">
        <v>233</v>
      </c>
      <c r="C110" s="7">
        <f t="shared" si="71"/>
        <v>1.4444444444444444</v>
      </c>
      <c r="D110" s="7" t="s">
        <v>17</v>
      </c>
      <c r="E110" s="5">
        <f t="shared" si="69"/>
        <v>9.7537878787878798E-2</v>
      </c>
      <c r="F110" s="5" t="str">
        <f t="shared" si="65"/>
        <v>Oz</v>
      </c>
      <c r="G110" s="5">
        <f t="shared" si="66"/>
        <v>0.14088804713804715</v>
      </c>
      <c r="I110" s="7" t="s">
        <v>233</v>
      </c>
      <c r="J110" s="7">
        <f t="shared" si="72"/>
        <v>1.2222222222222223</v>
      </c>
      <c r="K110" s="7" t="s">
        <v>17</v>
      </c>
      <c r="L110" s="5">
        <f t="shared" si="70"/>
        <v>9.7537878787878798E-2</v>
      </c>
      <c r="M110" s="5" t="str">
        <f t="shared" si="67"/>
        <v>Oz</v>
      </c>
      <c r="N110" s="5">
        <f t="shared" si="68"/>
        <v>0.11921296296296298</v>
      </c>
      <c r="P110" s="7" t="s">
        <v>146</v>
      </c>
      <c r="Q110" s="7">
        <f t="shared" si="73"/>
        <v>0.875</v>
      </c>
      <c r="R110" s="7" t="s">
        <v>17</v>
      </c>
      <c r="S110" s="90">
        <f t="shared" si="74"/>
        <v>8.7187500000000001E-2</v>
      </c>
      <c r="T110" s="5" t="str">
        <f t="shared" si="75"/>
        <v>Oz</v>
      </c>
      <c r="U110" s="5">
        <f>Q110*S110</f>
        <v>7.6289062500000004E-2</v>
      </c>
    </row>
    <row r="111" spans="2:21" x14ac:dyDescent="0.35">
      <c r="B111" s="7" t="s">
        <v>92</v>
      </c>
      <c r="C111" s="7">
        <f t="shared" si="71"/>
        <v>1.125</v>
      </c>
      <c r="D111" s="87" t="s">
        <v>17</v>
      </c>
      <c r="E111" s="5">
        <f t="shared" si="69"/>
        <v>2.75E-2</v>
      </c>
      <c r="F111" s="88" t="str">
        <f t="shared" si="65"/>
        <v>Oz</v>
      </c>
      <c r="G111" s="5">
        <f t="shared" si="66"/>
        <v>3.09375E-2</v>
      </c>
      <c r="I111" s="7" t="s">
        <v>92</v>
      </c>
      <c r="J111" s="7">
        <f t="shared" si="72"/>
        <v>0.82499999999999996</v>
      </c>
      <c r="K111" s="87" t="s">
        <v>17</v>
      </c>
      <c r="L111" s="5">
        <f t="shared" si="70"/>
        <v>2.75E-2</v>
      </c>
      <c r="M111" s="88" t="str">
        <f t="shared" si="67"/>
        <v>Oz</v>
      </c>
      <c r="N111" s="5">
        <f t="shared" si="68"/>
        <v>2.2687499999999999E-2</v>
      </c>
      <c r="P111" s="7" t="s">
        <v>327</v>
      </c>
      <c r="Q111" s="7">
        <f t="shared" si="73"/>
        <v>1.25</v>
      </c>
      <c r="R111" s="7" t="s">
        <v>17</v>
      </c>
      <c r="S111" s="90">
        <f t="shared" si="74"/>
        <v>0.625</v>
      </c>
      <c r="T111" s="5" t="str">
        <f t="shared" si="75"/>
        <v>Oz</v>
      </c>
      <c r="U111" s="5">
        <f t="shared" ref="U111:U112" si="77">Q111*S111</f>
        <v>0.78125</v>
      </c>
    </row>
    <row r="112" spans="2:21" x14ac:dyDescent="0.35">
      <c r="B112" s="7" t="s">
        <v>342</v>
      </c>
      <c r="C112" s="7">
        <f t="shared" si="71"/>
        <v>2.625</v>
      </c>
      <c r="D112" s="7" t="s">
        <v>17</v>
      </c>
      <c r="E112" s="5">
        <f t="shared" si="69"/>
        <v>0.1</v>
      </c>
      <c r="F112" s="5" t="str">
        <f t="shared" si="65"/>
        <v>Oz</v>
      </c>
      <c r="G112" s="5">
        <f t="shared" si="66"/>
        <v>0.26250000000000001</v>
      </c>
      <c r="I112" s="7" t="s">
        <v>342</v>
      </c>
      <c r="J112" s="7">
        <f t="shared" si="72"/>
        <v>2.625</v>
      </c>
      <c r="K112" s="7" t="s">
        <v>17</v>
      </c>
      <c r="L112" s="5">
        <f t="shared" si="70"/>
        <v>0.1</v>
      </c>
      <c r="M112" s="5" t="str">
        <f t="shared" si="67"/>
        <v>Oz</v>
      </c>
      <c r="N112" s="5">
        <f t="shared" si="68"/>
        <v>0.26250000000000001</v>
      </c>
      <c r="P112" s="7" t="s">
        <v>148</v>
      </c>
      <c r="Q112" s="7">
        <f t="shared" si="73"/>
        <v>2</v>
      </c>
      <c r="R112" s="7" t="s">
        <v>17</v>
      </c>
      <c r="S112" s="90">
        <f t="shared" si="74"/>
        <v>0.21484375</v>
      </c>
      <c r="T112" s="5" t="str">
        <f t="shared" si="75"/>
        <v>Oz</v>
      </c>
      <c r="U112" s="5">
        <f t="shared" si="77"/>
        <v>0.4296875</v>
      </c>
    </row>
    <row r="113" spans="2:21" x14ac:dyDescent="0.35">
      <c r="B113" s="7" t="s">
        <v>302</v>
      </c>
      <c r="C113" s="7">
        <f t="shared" si="71"/>
        <v>18</v>
      </c>
      <c r="D113" s="7" t="s">
        <v>346</v>
      </c>
      <c r="E113" s="5">
        <f t="shared" si="69"/>
        <v>2.1658333333333334E-3</v>
      </c>
      <c r="F113" s="5" t="str">
        <f>D113</f>
        <v>Inch</v>
      </c>
      <c r="G113" s="5">
        <f>C113*E113</f>
        <v>3.8984999999999999E-2</v>
      </c>
      <c r="I113" s="7" t="s">
        <v>302</v>
      </c>
      <c r="J113" s="7">
        <f t="shared" si="72"/>
        <v>18</v>
      </c>
      <c r="K113" s="7" t="s">
        <v>346</v>
      </c>
      <c r="L113" s="5">
        <f t="shared" si="70"/>
        <v>2.1658333333333334E-3</v>
      </c>
      <c r="M113" s="5" t="str">
        <f>K113</f>
        <v>Inch</v>
      </c>
      <c r="N113" s="5">
        <f>J113*L113</f>
        <v>3.8984999999999999E-2</v>
      </c>
      <c r="P113" s="7" t="s">
        <v>149</v>
      </c>
      <c r="Q113" s="7">
        <f t="shared" si="73"/>
        <v>1.5</v>
      </c>
      <c r="R113" s="7" t="s">
        <v>17</v>
      </c>
      <c r="S113" s="90">
        <f t="shared" si="74"/>
        <v>7.0427312853837354E-2</v>
      </c>
      <c r="T113" s="5" t="str">
        <f>R113</f>
        <v>Oz</v>
      </c>
      <c r="U113" s="5">
        <f>Q113*S113</f>
        <v>0.10564096928075603</v>
      </c>
    </row>
    <row r="114" spans="2:21" x14ac:dyDescent="0.35">
      <c r="B114" s="7" t="s">
        <v>343</v>
      </c>
      <c r="C114" s="7">
        <v>1</v>
      </c>
      <c r="D114" s="7" t="s">
        <v>292</v>
      </c>
      <c r="E114" s="5">
        <f t="shared" si="69"/>
        <v>0</v>
      </c>
      <c r="F114" s="5" t="str">
        <f>D114</f>
        <v>Count</v>
      </c>
      <c r="G114" s="5">
        <f>C114*E114</f>
        <v>0</v>
      </c>
      <c r="I114" s="7" t="s">
        <v>343</v>
      </c>
      <c r="J114" s="7">
        <v>1</v>
      </c>
      <c r="K114" s="7" t="s">
        <v>292</v>
      </c>
      <c r="L114" s="5">
        <f t="shared" si="70"/>
        <v>0</v>
      </c>
      <c r="M114" s="5" t="str">
        <f>K114</f>
        <v>Count</v>
      </c>
      <c r="N114" s="5">
        <f>J114*L114</f>
        <v>0</v>
      </c>
      <c r="P114" s="7" t="s">
        <v>302</v>
      </c>
      <c r="Q114" s="7">
        <f t="shared" si="73"/>
        <v>18</v>
      </c>
      <c r="R114" s="7" t="s">
        <v>346</v>
      </c>
      <c r="S114" s="90">
        <f t="shared" si="74"/>
        <v>2.1658333333333334E-3</v>
      </c>
      <c r="T114" s="5" t="str">
        <f>R114</f>
        <v>Inch</v>
      </c>
      <c r="U114" s="5">
        <f>Q114*S114</f>
        <v>3.8984999999999999E-2</v>
      </c>
    </row>
    <row r="115" spans="2:21" x14ac:dyDescent="0.35">
      <c r="P115" s="7" t="s">
        <v>343</v>
      </c>
      <c r="Q115" s="7">
        <f t="shared" si="73"/>
        <v>1</v>
      </c>
      <c r="R115" s="7" t="s">
        <v>292</v>
      </c>
      <c r="S115" s="90">
        <f t="shared" si="74"/>
        <v>0</v>
      </c>
      <c r="T115" s="5" t="str">
        <f>R115</f>
        <v>Count</v>
      </c>
      <c r="U115" s="5">
        <f>Q115*S115</f>
        <v>0</v>
      </c>
    </row>
    <row r="116" spans="2:21" ht="15.5" x14ac:dyDescent="0.35">
      <c r="B116" s="119" t="s">
        <v>360</v>
      </c>
      <c r="C116" s="120"/>
      <c r="D116" s="121"/>
      <c r="E116" s="122" t="s">
        <v>7</v>
      </c>
      <c r="F116" s="123"/>
      <c r="G116" s="30">
        <f>SUM(G120:G132)</f>
        <v>1.5802626321052735</v>
      </c>
      <c r="I116" s="119" t="s">
        <v>361</v>
      </c>
      <c r="J116" s="120"/>
      <c r="K116" s="121"/>
      <c r="L116" s="122" t="s">
        <v>7</v>
      </c>
      <c r="M116" s="123"/>
      <c r="N116" s="30">
        <f>SUM(N120:N132)</f>
        <v>1.6172557371395453</v>
      </c>
      <c r="P116" s="7" t="s">
        <v>243</v>
      </c>
      <c r="Q116" s="7">
        <v>5</v>
      </c>
      <c r="R116" s="7" t="s">
        <v>292</v>
      </c>
      <c r="S116" s="90">
        <f>Salad!S57</f>
        <v>0.29946428571428568</v>
      </c>
      <c r="T116" s="5" t="str">
        <f>R116</f>
        <v>Count</v>
      </c>
      <c r="U116" s="5">
        <f>Q116*S116</f>
        <v>1.4973214285714285</v>
      </c>
    </row>
    <row r="117" spans="2:21" x14ac:dyDescent="0.35">
      <c r="B117" s="9"/>
      <c r="G117" s="8"/>
      <c r="I117" s="9"/>
      <c r="N117" s="8"/>
    </row>
    <row r="118" spans="2:21" x14ac:dyDescent="0.35">
      <c r="B118" s="10"/>
      <c r="C118" s="124" t="s">
        <v>13</v>
      </c>
      <c r="D118" s="125"/>
      <c r="E118" s="124" t="s">
        <v>14</v>
      </c>
      <c r="F118" s="125"/>
      <c r="G118" s="5" t="s">
        <v>6</v>
      </c>
      <c r="I118" s="10"/>
      <c r="J118" s="124" t="s">
        <v>13</v>
      </c>
      <c r="K118" s="125"/>
      <c r="L118" s="124" t="s">
        <v>14</v>
      </c>
      <c r="M118" s="125"/>
      <c r="N118" s="5" t="s">
        <v>6</v>
      </c>
    </row>
    <row r="119" spans="2:21" x14ac:dyDescent="0.35">
      <c r="B119" s="5" t="s">
        <v>10</v>
      </c>
      <c r="C119" s="5" t="s">
        <v>2</v>
      </c>
      <c r="D119" s="5" t="s">
        <v>1</v>
      </c>
      <c r="E119" s="5" t="s">
        <v>11</v>
      </c>
      <c r="F119" s="5" t="s">
        <v>1</v>
      </c>
      <c r="G119" s="5" t="s">
        <v>15</v>
      </c>
      <c r="I119" s="5" t="s">
        <v>10</v>
      </c>
      <c r="J119" s="5" t="s">
        <v>2</v>
      </c>
      <c r="K119" s="5" t="s">
        <v>1</v>
      </c>
      <c r="L119" s="5" t="s">
        <v>11</v>
      </c>
      <c r="M119" s="5" t="s">
        <v>1</v>
      </c>
      <c r="N119" s="5" t="s">
        <v>15</v>
      </c>
    </row>
    <row r="120" spans="2:21" x14ac:dyDescent="0.35">
      <c r="B120" s="7" t="s">
        <v>340</v>
      </c>
      <c r="C120" s="7">
        <f>22/3</f>
        <v>7.333333333333333</v>
      </c>
      <c r="D120" s="7" t="s">
        <v>17</v>
      </c>
      <c r="E120" s="5">
        <f>E7</f>
        <v>3.3574516898448738E-2</v>
      </c>
      <c r="F120" s="5" t="str">
        <f>D120</f>
        <v>Oz</v>
      </c>
      <c r="G120" s="5">
        <f>C120*E120</f>
        <v>0.24621312392195741</v>
      </c>
      <c r="I120" s="7" t="s">
        <v>251</v>
      </c>
      <c r="J120" s="7">
        <v>1</v>
      </c>
      <c r="K120" s="7" t="s">
        <v>251</v>
      </c>
      <c r="L120" s="5">
        <f>L7</f>
        <v>0.33333333333333331</v>
      </c>
      <c r="M120" s="5" t="str">
        <f>K120</f>
        <v>Wrap</v>
      </c>
      <c r="N120" s="5">
        <f>J120*L120</f>
        <v>0.33333333333333331</v>
      </c>
    </row>
    <row r="121" spans="2:21" x14ac:dyDescent="0.35">
      <c r="B121" s="7" t="s">
        <v>362</v>
      </c>
      <c r="C121" s="7">
        <v>3.375</v>
      </c>
      <c r="D121" s="7" t="s">
        <v>17</v>
      </c>
      <c r="E121" s="5"/>
      <c r="F121" s="5" t="str">
        <f t="shared" ref="F121:F130" si="78">D121</f>
        <v>Oz</v>
      </c>
      <c r="G121" s="5">
        <f t="shared" ref="G121:G130" si="79">C121*E121</f>
        <v>0</v>
      </c>
      <c r="I121" s="7" t="s">
        <v>362</v>
      </c>
      <c r="J121" s="7">
        <v>3.375</v>
      </c>
      <c r="K121" s="7" t="s">
        <v>17</v>
      </c>
      <c r="L121" s="5">
        <f>E121</f>
        <v>0</v>
      </c>
      <c r="M121" s="5" t="str">
        <f t="shared" ref="M121:M130" si="80">K121</f>
        <v>Oz</v>
      </c>
      <c r="N121" s="5">
        <f t="shared" ref="N121:N130" si="81">J121*L121</f>
        <v>0</v>
      </c>
    </row>
    <row r="122" spans="2:21" x14ac:dyDescent="0.35">
      <c r="B122" s="7" t="s">
        <v>341</v>
      </c>
      <c r="C122" s="7">
        <v>4</v>
      </c>
      <c r="D122" s="7" t="s">
        <v>128</v>
      </c>
      <c r="E122" s="5">
        <f>U11</f>
        <v>0.12515625</v>
      </c>
      <c r="F122" s="5" t="str">
        <f t="shared" si="78"/>
        <v>Slice</v>
      </c>
      <c r="G122" s="5">
        <f t="shared" si="79"/>
        <v>0.50062499999999999</v>
      </c>
      <c r="I122" s="7" t="s">
        <v>341</v>
      </c>
      <c r="J122" s="7">
        <v>4</v>
      </c>
      <c r="K122" s="7" t="s">
        <v>128</v>
      </c>
      <c r="L122" s="5">
        <f>U11</f>
        <v>0.12515625</v>
      </c>
      <c r="M122" s="5" t="str">
        <f t="shared" si="80"/>
        <v>Slice</v>
      </c>
      <c r="N122" s="5">
        <f t="shared" si="81"/>
        <v>0.50062499999999999</v>
      </c>
    </row>
    <row r="123" spans="2:21" x14ac:dyDescent="0.35">
      <c r="B123" s="7" t="s">
        <v>276</v>
      </c>
      <c r="C123" s="7">
        <v>1</v>
      </c>
      <c r="D123" s="7" t="s">
        <v>17</v>
      </c>
      <c r="E123" s="5">
        <f>E11</f>
        <v>4.9785156249999997E-2</v>
      </c>
      <c r="F123" s="5" t="str">
        <f t="shared" si="78"/>
        <v>Oz</v>
      </c>
      <c r="G123" s="5">
        <f t="shared" si="79"/>
        <v>4.9785156249999997E-2</v>
      </c>
      <c r="I123" s="7" t="s">
        <v>276</v>
      </c>
      <c r="J123" s="7">
        <v>1</v>
      </c>
      <c r="K123" s="7" t="s">
        <v>17</v>
      </c>
      <c r="L123" s="5">
        <f>L11</f>
        <v>4.9785156249999997E-2</v>
      </c>
      <c r="M123" s="5" t="str">
        <f t="shared" si="80"/>
        <v>Oz</v>
      </c>
      <c r="N123" s="5">
        <f t="shared" si="81"/>
        <v>4.9785156249999997E-2</v>
      </c>
    </row>
    <row r="124" spans="2:21" x14ac:dyDescent="0.35">
      <c r="B124" s="7" t="s">
        <v>344</v>
      </c>
      <c r="C124" s="7">
        <f>C12</f>
        <v>1</v>
      </c>
      <c r="D124" s="7" t="s">
        <v>17</v>
      </c>
      <c r="E124" s="5">
        <f t="shared" ref="E124:E132" si="82">E12</f>
        <v>0.15319098598213757</v>
      </c>
      <c r="F124" s="5" t="str">
        <f t="shared" si="78"/>
        <v>Oz</v>
      </c>
      <c r="G124" s="5">
        <f t="shared" si="79"/>
        <v>0.15319098598213757</v>
      </c>
      <c r="I124" s="7" t="s">
        <v>344</v>
      </c>
      <c r="J124" s="7">
        <f>J12</f>
        <v>1</v>
      </c>
      <c r="K124" s="7" t="s">
        <v>17</v>
      </c>
      <c r="L124" s="5">
        <f t="shared" ref="L124:L132" si="83">L12</f>
        <v>0.15319098598213757</v>
      </c>
      <c r="M124" s="5" t="str">
        <f t="shared" si="80"/>
        <v>Oz</v>
      </c>
      <c r="N124" s="5">
        <f t="shared" si="81"/>
        <v>0.15319098598213757</v>
      </c>
    </row>
    <row r="125" spans="2:21" x14ac:dyDescent="0.35">
      <c r="B125" s="7" t="s">
        <v>345</v>
      </c>
      <c r="C125" s="7">
        <f t="shared" ref="C125:C131" si="84">C13</f>
        <v>1</v>
      </c>
      <c r="D125" s="7" t="s">
        <v>17</v>
      </c>
      <c r="E125" s="5">
        <f t="shared" si="82"/>
        <v>1.85546875E-2</v>
      </c>
      <c r="F125" s="5" t="str">
        <f t="shared" si="78"/>
        <v>Oz</v>
      </c>
      <c r="G125" s="5">
        <f t="shared" si="79"/>
        <v>1.85546875E-2</v>
      </c>
      <c r="I125" s="7" t="s">
        <v>345</v>
      </c>
      <c r="J125" s="7">
        <f t="shared" ref="J125:J131" si="85">J13</f>
        <v>1</v>
      </c>
      <c r="K125" s="7" t="s">
        <v>17</v>
      </c>
      <c r="L125" s="5">
        <f t="shared" si="83"/>
        <v>1.85546875E-2</v>
      </c>
      <c r="M125" s="5" t="str">
        <f t="shared" si="80"/>
        <v>Oz</v>
      </c>
      <c r="N125" s="5">
        <f t="shared" si="81"/>
        <v>1.85546875E-2</v>
      </c>
    </row>
    <row r="126" spans="2:21" x14ac:dyDescent="0.35">
      <c r="B126" s="7" t="s">
        <v>257</v>
      </c>
      <c r="C126" s="7">
        <f t="shared" si="84"/>
        <v>6.0000000000000001E-3</v>
      </c>
      <c r="D126" s="7" t="str">
        <f>D14</f>
        <v>Oz</v>
      </c>
      <c r="E126" s="5">
        <f t="shared" si="82"/>
        <v>1.2116666666666667</v>
      </c>
      <c r="F126" s="5" t="str">
        <f t="shared" si="78"/>
        <v>Oz</v>
      </c>
      <c r="G126" s="5">
        <f t="shared" si="79"/>
        <v>7.2700000000000004E-3</v>
      </c>
      <c r="I126" s="7" t="s">
        <v>257</v>
      </c>
      <c r="J126" s="7">
        <f t="shared" si="85"/>
        <v>6.0000000000000001E-3</v>
      </c>
      <c r="K126" s="7" t="str">
        <f>K14</f>
        <v>Oz</v>
      </c>
      <c r="L126" s="5">
        <f t="shared" si="83"/>
        <v>1.2116666666666667</v>
      </c>
      <c r="M126" s="5" t="str">
        <f t="shared" si="80"/>
        <v>Oz</v>
      </c>
      <c r="N126" s="5">
        <f t="shared" si="81"/>
        <v>7.2700000000000004E-3</v>
      </c>
    </row>
    <row r="127" spans="2:21" x14ac:dyDescent="0.35">
      <c r="B127" s="7" t="s">
        <v>232</v>
      </c>
      <c r="C127" s="7">
        <f t="shared" si="84"/>
        <v>1.8055555555555556</v>
      </c>
      <c r="D127" s="7" t="s">
        <v>17</v>
      </c>
      <c r="E127" s="5">
        <f t="shared" si="82"/>
        <v>7.2727272727272724E-2</v>
      </c>
      <c r="F127" s="5" t="str">
        <f t="shared" si="78"/>
        <v>Oz</v>
      </c>
      <c r="G127" s="5">
        <f t="shared" si="79"/>
        <v>0.1313131313131313</v>
      </c>
      <c r="I127" s="7" t="s">
        <v>232</v>
      </c>
      <c r="J127" s="7">
        <f t="shared" si="85"/>
        <v>1.5277777777777777</v>
      </c>
      <c r="K127" s="7" t="s">
        <v>17</v>
      </c>
      <c r="L127" s="5">
        <f t="shared" si="83"/>
        <v>7.2727272727272724E-2</v>
      </c>
      <c r="M127" s="5" t="str">
        <f t="shared" si="80"/>
        <v>Oz</v>
      </c>
      <c r="N127" s="5">
        <f t="shared" si="81"/>
        <v>0.1111111111111111</v>
      </c>
    </row>
    <row r="128" spans="2:21" x14ac:dyDescent="0.35">
      <c r="B128" s="7" t="s">
        <v>233</v>
      </c>
      <c r="C128" s="7">
        <f t="shared" si="84"/>
        <v>1.4444444444444444</v>
      </c>
      <c r="D128" s="7" t="s">
        <v>17</v>
      </c>
      <c r="E128" s="5">
        <f t="shared" si="82"/>
        <v>9.7537878787878798E-2</v>
      </c>
      <c r="F128" s="5" t="str">
        <f t="shared" si="78"/>
        <v>Oz</v>
      </c>
      <c r="G128" s="5">
        <f t="shared" si="79"/>
        <v>0.14088804713804715</v>
      </c>
      <c r="I128" s="7" t="s">
        <v>233</v>
      </c>
      <c r="J128" s="7">
        <f t="shared" si="85"/>
        <v>1.2222222222222223</v>
      </c>
      <c r="K128" s="7" t="s">
        <v>17</v>
      </c>
      <c r="L128" s="5">
        <f t="shared" si="83"/>
        <v>9.7537878787878798E-2</v>
      </c>
      <c r="M128" s="5" t="str">
        <f t="shared" si="80"/>
        <v>Oz</v>
      </c>
      <c r="N128" s="5">
        <f t="shared" si="81"/>
        <v>0.11921296296296298</v>
      </c>
    </row>
    <row r="129" spans="2:14" x14ac:dyDescent="0.35">
      <c r="B129" s="7" t="s">
        <v>92</v>
      </c>
      <c r="C129" s="7">
        <f t="shared" si="84"/>
        <v>1.125</v>
      </c>
      <c r="D129" s="87" t="s">
        <v>17</v>
      </c>
      <c r="E129" s="5">
        <f t="shared" si="82"/>
        <v>2.75E-2</v>
      </c>
      <c r="F129" s="88" t="str">
        <f t="shared" si="78"/>
        <v>Oz</v>
      </c>
      <c r="G129" s="5">
        <f t="shared" si="79"/>
        <v>3.09375E-2</v>
      </c>
      <c r="I129" s="7" t="s">
        <v>92</v>
      </c>
      <c r="J129" s="7">
        <f t="shared" si="85"/>
        <v>0.82499999999999996</v>
      </c>
      <c r="K129" s="87" t="s">
        <v>17</v>
      </c>
      <c r="L129" s="5">
        <f t="shared" si="83"/>
        <v>2.75E-2</v>
      </c>
      <c r="M129" s="88" t="str">
        <f t="shared" si="80"/>
        <v>Oz</v>
      </c>
      <c r="N129" s="5">
        <f t="shared" si="81"/>
        <v>2.2687499999999999E-2</v>
      </c>
    </row>
    <row r="130" spans="2:14" x14ac:dyDescent="0.35">
      <c r="B130" s="7" t="s">
        <v>342</v>
      </c>
      <c r="C130" s="7">
        <f t="shared" si="84"/>
        <v>2.625</v>
      </c>
      <c r="D130" s="7" t="s">
        <v>17</v>
      </c>
      <c r="E130" s="5">
        <f t="shared" si="82"/>
        <v>0.1</v>
      </c>
      <c r="F130" s="5" t="str">
        <f t="shared" si="78"/>
        <v>Oz</v>
      </c>
      <c r="G130" s="5">
        <f t="shared" si="79"/>
        <v>0.26250000000000001</v>
      </c>
      <c r="I130" s="7" t="s">
        <v>342</v>
      </c>
      <c r="J130" s="7">
        <f t="shared" si="85"/>
        <v>2.625</v>
      </c>
      <c r="K130" s="7" t="s">
        <v>17</v>
      </c>
      <c r="L130" s="5">
        <f t="shared" si="83"/>
        <v>0.1</v>
      </c>
      <c r="M130" s="5" t="str">
        <f t="shared" si="80"/>
        <v>Oz</v>
      </c>
      <c r="N130" s="5">
        <f t="shared" si="81"/>
        <v>0.26250000000000001</v>
      </c>
    </row>
    <row r="131" spans="2:14" x14ac:dyDescent="0.35">
      <c r="B131" s="7" t="s">
        <v>302</v>
      </c>
      <c r="C131" s="7">
        <f t="shared" si="84"/>
        <v>18</v>
      </c>
      <c r="D131" s="7" t="s">
        <v>346</v>
      </c>
      <c r="E131" s="5">
        <f t="shared" si="82"/>
        <v>2.1658333333333334E-3</v>
      </c>
      <c r="F131" s="5" t="str">
        <f>D131</f>
        <v>Inch</v>
      </c>
      <c r="G131" s="5">
        <f>C131*E131</f>
        <v>3.8984999999999999E-2</v>
      </c>
      <c r="I131" s="7" t="s">
        <v>302</v>
      </c>
      <c r="J131" s="7">
        <f t="shared" si="85"/>
        <v>18</v>
      </c>
      <c r="K131" s="7" t="s">
        <v>346</v>
      </c>
      <c r="L131" s="5">
        <f t="shared" si="83"/>
        <v>2.1658333333333334E-3</v>
      </c>
      <c r="M131" s="5" t="str">
        <f>K131</f>
        <v>Inch</v>
      </c>
      <c r="N131" s="5">
        <f>J131*L131</f>
        <v>3.8984999999999999E-2</v>
      </c>
    </row>
    <row r="132" spans="2:14" x14ac:dyDescent="0.35">
      <c r="B132" s="7" t="s">
        <v>343</v>
      </c>
      <c r="C132" s="7">
        <v>1</v>
      </c>
      <c r="D132" s="7" t="s">
        <v>292</v>
      </c>
      <c r="E132" s="5">
        <f t="shared" si="82"/>
        <v>0</v>
      </c>
      <c r="F132" s="5" t="str">
        <f>D132</f>
        <v>Count</v>
      </c>
      <c r="G132" s="5">
        <f>C132*E132</f>
        <v>0</v>
      </c>
      <c r="I132" s="7" t="s">
        <v>343</v>
      </c>
      <c r="J132" s="7">
        <v>1</v>
      </c>
      <c r="K132" s="7" t="s">
        <v>292</v>
      </c>
      <c r="L132" s="5">
        <f t="shared" si="83"/>
        <v>0</v>
      </c>
      <c r="M132" s="5" t="str">
        <f>K132</f>
        <v>Count</v>
      </c>
      <c r="N132" s="5">
        <f>J132*L132</f>
        <v>0</v>
      </c>
    </row>
    <row r="134" spans="2:14" ht="15.5" x14ac:dyDescent="0.35">
      <c r="B134" s="119" t="s">
        <v>363</v>
      </c>
      <c r="C134" s="120"/>
      <c r="D134" s="121"/>
      <c r="E134" s="122" t="s">
        <v>7</v>
      </c>
      <c r="F134" s="123"/>
      <c r="G134" s="30">
        <f>SUM(G138:G149)</f>
        <v>2.6030751321052734</v>
      </c>
      <c r="I134" s="119" t="s">
        <v>364</v>
      </c>
      <c r="J134" s="120"/>
      <c r="K134" s="121"/>
      <c r="L134" s="122" t="s">
        <v>7</v>
      </c>
      <c r="M134" s="123"/>
      <c r="N134" s="30">
        <f>SUM(N138:N149)</f>
        <v>2.2885057371395452</v>
      </c>
    </row>
    <row r="135" spans="2:14" x14ac:dyDescent="0.35">
      <c r="B135" s="9"/>
      <c r="G135" s="8"/>
      <c r="I135" s="9"/>
      <c r="N135" s="8"/>
    </row>
    <row r="136" spans="2:14" x14ac:dyDescent="0.35">
      <c r="B136" s="10"/>
      <c r="C136" s="124" t="s">
        <v>13</v>
      </c>
      <c r="D136" s="125"/>
      <c r="E136" s="124" t="s">
        <v>14</v>
      </c>
      <c r="F136" s="125"/>
      <c r="G136" s="5" t="s">
        <v>6</v>
      </c>
      <c r="I136" s="10"/>
      <c r="J136" s="124" t="s">
        <v>13</v>
      </c>
      <c r="K136" s="125"/>
      <c r="L136" s="124" t="s">
        <v>14</v>
      </c>
      <c r="M136" s="125"/>
      <c r="N136" s="5" t="s">
        <v>6</v>
      </c>
    </row>
    <row r="137" spans="2:14" x14ac:dyDescent="0.35">
      <c r="B137" s="5" t="s">
        <v>10</v>
      </c>
      <c r="C137" s="5" t="s">
        <v>2</v>
      </c>
      <c r="D137" s="5" t="s">
        <v>1</v>
      </c>
      <c r="E137" s="5" t="s">
        <v>11</v>
      </c>
      <c r="F137" s="5" t="s">
        <v>1</v>
      </c>
      <c r="G137" s="5" t="s">
        <v>15</v>
      </c>
      <c r="I137" s="5" t="s">
        <v>10</v>
      </c>
      <c r="J137" s="5" t="s">
        <v>2</v>
      </c>
      <c r="K137" s="5" t="s">
        <v>1</v>
      </c>
      <c r="L137" s="5" t="s">
        <v>11</v>
      </c>
      <c r="M137" s="5" t="s">
        <v>1</v>
      </c>
      <c r="N137" s="5" t="s">
        <v>15</v>
      </c>
    </row>
    <row r="138" spans="2:14" x14ac:dyDescent="0.35">
      <c r="B138" s="7" t="s">
        <v>340</v>
      </c>
      <c r="C138" s="7">
        <f>22/3</f>
        <v>7.333333333333333</v>
      </c>
      <c r="D138" s="7" t="s">
        <v>17</v>
      </c>
      <c r="E138" s="5">
        <f>E7</f>
        <v>3.3574516898448738E-2</v>
      </c>
      <c r="F138" s="5" t="str">
        <f>D138</f>
        <v>Oz</v>
      </c>
      <c r="G138" s="5">
        <f>C138*E138</f>
        <v>0.24621312392195741</v>
      </c>
      <c r="I138" s="7" t="s">
        <v>251</v>
      </c>
      <c r="J138" s="7">
        <v>1</v>
      </c>
      <c r="K138" s="7" t="s">
        <v>251</v>
      </c>
      <c r="L138" s="5">
        <f>L7</f>
        <v>0.33333333333333331</v>
      </c>
      <c r="M138" s="5" t="str">
        <f>K138</f>
        <v>Wrap</v>
      </c>
      <c r="N138" s="5">
        <f>J138*L138</f>
        <v>0.33333333333333331</v>
      </c>
    </row>
    <row r="139" spans="2:14" x14ac:dyDescent="0.35">
      <c r="B139" s="7" t="s">
        <v>28</v>
      </c>
      <c r="C139" s="7">
        <v>3.25</v>
      </c>
      <c r="D139" s="7" t="s">
        <v>17</v>
      </c>
      <c r="E139" s="5">
        <f>'Food Prices'!L56</f>
        <v>0.46875</v>
      </c>
      <c r="F139" s="5" t="str">
        <f t="shared" ref="F139:F147" si="86">D139</f>
        <v>Oz</v>
      </c>
      <c r="G139" s="5">
        <f t="shared" ref="G139:G147" si="87">C139*E139</f>
        <v>1.5234375</v>
      </c>
      <c r="I139" s="7" t="s">
        <v>28</v>
      </c>
      <c r="J139" s="7">
        <v>2.5</v>
      </c>
      <c r="K139" s="7" t="s">
        <v>17</v>
      </c>
      <c r="L139" s="5">
        <f>E139</f>
        <v>0.46875</v>
      </c>
      <c r="M139" s="5" t="str">
        <f t="shared" ref="M139:M147" si="88">K139</f>
        <v>Oz</v>
      </c>
      <c r="N139" s="5">
        <f>J139*L139</f>
        <v>1.171875</v>
      </c>
    </row>
    <row r="140" spans="2:14" x14ac:dyDescent="0.35">
      <c r="B140" s="7" t="s">
        <v>276</v>
      </c>
      <c r="C140" s="7">
        <v>1</v>
      </c>
      <c r="D140" s="7" t="s">
        <v>17</v>
      </c>
      <c r="E140" s="5">
        <f>E11</f>
        <v>4.9785156249999997E-2</v>
      </c>
      <c r="F140" s="5" t="str">
        <f t="shared" si="86"/>
        <v>Oz</v>
      </c>
      <c r="G140" s="5">
        <f t="shared" si="87"/>
        <v>4.9785156249999997E-2</v>
      </c>
      <c r="I140" s="7" t="s">
        <v>276</v>
      </c>
      <c r="J140" s="7">
        <v>1</v>
      </c>
      <c r="K140" s="7" t="s">
        <v>17</v>
      </c>
      <c r="L140" s="5">
        <f t="shared" ref="L140:L149" si="89">E140</f>
        <v>4.9785156249999997E-2</v>
      </c>
      <c r="M140" s="5" t="str">
        <f t="shared" si="88"/>
        <v>Oz</v>
      </c>
      <c r="N140" s="5">
        <f t="shared" ref="N140:N147" si="90">J140*L140</f>
        <v>4.9785156249999997E-2</v>
      </c>
    </row>
    <row r="141" spans="2:14" x14ac:dyDescent="0.35">
      <c r="B141" s="7" t="s">
        <v>344</v>
      </c>
      <c r="C141" s="7">
        <f>C12</f>
        <v>1</v>
      </c>
      <c r="D141" s="7" t="s">
        <v>17</v>
      </c>
      <c r="E141" s="5">
        <f t="shared" ref="E141:E149" si="91">E12</f>
        <v>0.15319098598213757</v>
      </c>
      <c r="F141" s="5" t="str">
        <f t="shared" si="86"/>
        <v>Oz</v>
      </c>
      <c r="G141" s="5">
        <f t="shared" si="87"/>
        <v>0.15319098598213757</v>
      </c>
      <c r="I141" s="7" t="s">
        <v>344</v>
      </c>
      <c r="J141" s="7">
        <f>J12</f>
        <v>1</v>
      </c>
      <c r="K141" s="7" t="s">
        <v>17</v>
      </c>
      <c r="L141" s="5">
        <f t="shared" si="89"/>
        <v>0.15319098598213757</v>
      </c>
      <c r="M141" s="5" t="str">
        <f t="shared" si="88"/>
        <v>Oz</v>
      </c>
      <c r="N141" s="5">
        <f t="shared" si="90"/>
        <v>0.15319098598213757</v>
      </c>
    </row>
    <row r="142" spans="2:14" x14ac:dyDescent="0.35">
      <c r="B142" s="7" t="s">
        <v>345</v>
      </c>
      <c r="C142" s="7">
        <f t="shared" ref="C142:C147" si="92">C13</f>
        <v>1</v>
      </c>
      <c r="D142" s="7" t="s">
        <v>17</v>
      </c>
      <c r="E142" s="5">
        <f t="shared" si="91"/>
        <v>1.85546875E-2</v>
      </c>
      <c r="F142" s="5" t="str">
        <f t="shared" si="86"/>
        <v>Oz</v>
      </c>
      <c r="G142" s="5">
        <f t="shared" si="87"/>
        <v>1.85546875E-2</v>
      </c>
      <c r="I142" s="7" t="s">
        <v>345</v>
      </c>
      <c r="J142" s="7">
        <f t="shared" ref="J142:J148" si="93">J13</f>
        <v>1</v>
      </c>
      <c r="K142" s="7" t="s">
        <v>17</v>
      </c>
      <c r="L142" s="5">
        <f t="shared" si="89"/>
        <v>1.85546875E-2</v>
      </c>
      <c r="M142" s="5" t="str">
        <f t="shared" si="88"/>
        <v>Oz</v>
      </c>
      <c r="N142" s="5">
        <f t="shared" si="90"/>
        <v>1.85546875E-2</v>
      </c>
    </row>
    <row r="143" spans="2:14" x14ac:dyDescent="0.35">
      <c r="B143" s="7" t="s">
        <v>257</v>
      </c>
      <c r="C143" s="7">
        <f t="shared" si="92"/>
        <v>6.0000000000000001E-3</v>
      </c>
      <c r="D143" s="7" t="s">
        <v>17</v>
      </c>
      <c r="E143" s="5">
        <f t="shared" si="91"/>
        <v>1.2116666666666667</v>
      </c>
      <c r="F143" s="5" t="str">
        <f t="shared" si="86"/>
        <v>Oz</v>
      </c>
      <c r="G143" s="5">
        <f t="shared" si="87"/>
        <v>7.2700000000000004E-3</v>
      </c>
      <c r="I143" s="7" t="s">
        <v>257</v>
      </c>
      <c r="J143" s="7">
        <f t="shared" si="93"/>
        <v>6.0000000000000001E-3</v>
      </c>
      <c r="K143" s="7" t="str">
        <f>K14</f>
        <v>Oz</v>
      </c>
      <c r="L143" s="5">
        <f t="shared" si="89"/>
        <v>1.2116666666666667</v>
      </c>
      <c r="M143" s="5" t="str">
        <f t="shared" si="88"/>
        <v>Oz</v>
      </c>
      <c r="N143" s="5">
        <f t="shared" si="90"/>
        <v>7.2700000000000004E-3</v>
      </c>
    </row>
    <row r="144" spans="2:14" x14ac:dyDescent="0.35">
      <c r="B144" s="7" t="s">
        <v>232</v>
      </c>
      <c r="C144" s="7">
        <f t="shared" si="92"/>
        <v>1.8055555555555556</v>
      </c>
      <c r="D144" s="7" t="s">
        <v>17</v>
      </c>
      <c r="E144" s="5">
        <f t="shared" si="91"/>
        <v>7.2727272727272724E-2</v>
      </c>
      <c r="F144" s="5" t="str">
        <f t="shared" si="86"/>
        <v>Oz</v>
      </c>
      <c r="G144" s="5">
        <f t="shared" si="87"/>
        <v>0.1313131313131313</v>
      </c>
      <c r="I144" s="7" t="s">
        <v>232</v>
      </c>
      <c r="J144" s="7">
        <f t="shared" si="93"/>
        <v>1.5277777777777777</v>
      </c>
      <c r="K144" s="7" t="s">
        <v>17</v>
      </c>
      <c r="L144" s="5">
        <f t="shared" si="89"/>
        <v>7.2727272727272724E-2</v>
      </c>
      <c r="M144" s="5" t="str">
        <f t="shared" si="88"/>
        <v>Oz</v>
      </c>
      <c r="N144" s="5">
        <f t="shared" si="90"/>
        <v>0.1111111111111111</v>
      </c>
    </row>
    <row r="145" spans="2:14" x14ac:dyDescent="0.35">
      <c r="B145" s="7" t="s">
        <v>233</v>
      </c>
      <c r="C145" s="7">
        <f t="shared" si="92"/>
        <v>1.4444444444444444</v>
      </c>
      <c r="D145" s="7" t="s">
        <v>17</v>
      </c>
      <c r="E145" s="5">
        <f t="shared" si="91"/>
        <v>9.7537878787878798E-2</v>
      </c>
      <c r="F145" s="5" t="str">
        <f t="shared" si="86"/>
        <v>Oz</v>
      </c>
      <c r="G145" s="5">
        <f t="shared" si="87"/>
        <v>0.14088804713804715</v>
      </c>
      <c r="I145" s="7" t="s">
        <v>233</v>
      </c>
      <c r="J145" s="7">
        <f t="shared" si="93"/>
        <v>1.2222222222222223</v>
      </c>
      <c r="K145" s="7" t="s">
        <v>17</v>
      </c>
      <c r="L145" s="5">
        <f t="shared" si="89"/>
        <v>9.7537878787878798E-2</v>
      </c>
      <c r="M145" s="5" t="str">
        <f t="shared" si="88"/>
        <v>Oz</v>
      </c>
      <c r="N145" s="5">
        <f t="shared" si="90"/>
        <v>0.11921296296296298</v>
      </c>
    </row>
    <row r="146" spans="2:14" x14ac:dyDescent="0.35">
      <c r="B146" s="7" t="s">
        <v>92</v>
      </c>
      <c r="C146" s="7">
        <f t="shared" si="92"/>
        <v>1.125</v>
      </c>
      <c r="D146" s="87" t="s">
        <v>17</v>
      </c>
      <c r="E146" s="5">
        <f t="shared" si="91"/>
        <v>2.75E-2</v>
      </c>
      <c r="F146" s="88" t="str">
        <f t="shared" si="86"/>
        <v>Oz</v>
      </c>
      <c r="G146" s="5">
        <f t="shared" si="87"/>
        <v>3.09375E-2</v>
      </c>
      <c r="I146" s="7" t="s">
        <v>92</v>
      </c>
      <c r="J146" s="7">
        <f t="shared" si="93"/>
        <v>0.82499999999999996</v>
      </c>
      <c r="K146" s="87" t="s">
        <v>17</v>
      </c>
      <c r="L146" s="5">
        <f t="shared" si="89"/>
        <v>2.75E-2</v>
      </c>
      <c r="M146" s="88" t="str">
        <f t="shared" si="88"/>
        <v>Oz</v>
      </c>
      <c r="N146" s="5">
        <f t="shared" si="90"/>
        <v>2.2687499999999999E-2</v>
      </c>
    </row>
    <row r="147" spans="2:14" x14ac:dyDescent="0.35">
      <c r="B147" s="7" t="s">
        <v>342</v>
      </c>
      <c r="C147" s="7">
        <f t="shared" si="92"/>
        <v>2.625</v>
      </c>
      <c r="D147" s="7" t="s">
        <v>17</v>
      </c>
      <c r="E147" s="5">
        <f t="shared" si="91"/>
        <v>0.1</v>
      </c>
      <c r="F147" s="5" t="str">
        <f t="shared" si="86"/>
        <v>Oz</v>
      </c>
      <c r="G147" s="5">
        <f t="shared" si="87"/>
        <v>0.26250000000000001</v>
      </c>
      <c r="I147" s="7" t="s">
        <v>342</v>
      </c>
      <c r="J147" s="7">
        <f t="shared" si="93"/>
        <v>2.625</v>
      </c>
      <c r="K147" s="7" t="s">
        <v>17</v>
      </c>
      <c r="L147" s="5">
        <f t="shared" si="89"/>
        <v>0.1</v>
      </c>
      <c r="M147" s="5" t="str">
        <f t="shared" si="88"/>
        <v>Oz</v>
      </c>
      <c r="N147" s="5">
        <f t="shared" si="90"/>
        <v>0.26250000000000001</v>
      </c>
    </row>
    <row r="148" spans="2:14" x14ac:dyDescent="0.35">
      <c r="B148" s="7" t="s">
        <v>302</v>
      </c>
      <c r="C148" s="7">
        <f>C19</f>
        <v>18</v>
      </c>
      <c r="D148" s="7" t="s">
        <v>346</v>
      </c>
      <c r="E148" s="5">
        <f t="shared" si="91"/>
        <v>2.1658333333333334E-3</v>
      </c>
      <c r="F148" s="5" t="str">
        <f>D148</f>
        <v>Inch</v>
      </c>
      <c r="G148" s="5">
        <f>C148*E148</f>
        <v>3.8984999999999999E-2</v>
      </c>
      <c r="I148" s="7" t="s">
        <v>302</v>
      </c>
      <c r="J148" s="7">
        <f t="shared" si="93"/>
        <v>18</v>
      </c>
      <c r="K148" s="7" t="s">
        <v>346</v>
      </c>
      <c r="L148" s="5">
        <f t="shared" si="89"/>
        <v>2.1658333333333334E-3</v>
      </c>
      <c r="M148" s="5" t="str">
        <f>K148</f>
        <v>Inch</v>
      </c>
      <c r="N148" s="5">
        <f>J148*L148</f>
        <v>3.8984999999999999E-2</v>
      </c>
    </row>
    <row r="149" spans="2:14" x14ac:dyDescent="0.35">
      <c r="B149" s="7" t="s">
        <v>343</v>
      </c>
      <c r="C149" s="7">
        <v>1</v>
      </c>
      <c r="D149" s="7" t="s">
        <v>292</v>
      </c>
      <c r="E149" s="5">
        <f t="shared" si="91"/>
        <v>0</v>
      </c>
      <c r="F149" s="5" t="str">
        <f>D149</f>
        <v>Count</v>
      </c>
      <c r="G149" s="5">
        <f>C149*E149</f>
        <v>0</v>
      </c>
      <c r="I149" s="7" t="s">
        <v>343</v>
      </c>
      <c r="J149" s="7">
        <v>1</v>
      </c>
      <c r="K149" s="7" t="s">
        <v>292</v>
      </c>
      <c r="L149" s="5">
        <f t="shared" si="89"/>
        <v>0</v>
      </c>
      <c r="M149" s="5" t="str">
        <f>K149</f>
        <v>Count</v>
      </c>
      <c r="N149" s="5">
        <f>J149*L149</f>
        <v>0</v>
      </c>
    </row>
    <row r="151" spans="2:14" ht="15.5" x14ac:dyDescent="0.35">
      <c r="B151" s="119" t="s">
        <v>365</v>
      </c>
      <c r="C151" s="120"/>
      <c r="D151" s="121"/>
      <c r="E151" s="122" t="s">
        <v>7</v>
      </c>
      <c r="F151" s="123"/>
      <c r="G151" s="30">
        <f>SUM(G155:G169)</f>
        <v>1.3877470071052733</v>
      </c>
      <c r="I151" s="119" t="s">
        <v>366</v>
      </c>
      <c r="J151" s="120"/>
      <c r="K151" s="121"/>
      <c r="L151" s="122" t="s">
        <v>7</v>
      </c>
      <c r="M151" s="123"/>
      <c r="N151" s="30">
        <f>SUM(N155:N169)</f>
        <v>1.3375057371395449</v>
      </c>
    </row>
    <row r="152" spans="2:14" x14ac:dyDescent="0.35">
      <c r="B152" s="9"/>
      <c r="G152" s="8"/>
      <c r="I152" s="9"/>
      <c r="N152" s="8"/>
    </row>
    <row r="153" spans="2:14" x14ac:dyDescent="0.35">
      <c r="B153" s="10"/>
      <c r="C153" s="124" t="s">
        <v>13</v>
      </c>
      <c r="D153" s="125"/>
      <c r="E153" s="124" t="s">
        <v>14</v>
      </c>
      <c r="F153" s="125"/>
      <c r="G153" s="5" t="s">
        <v>6</v>
      </c>
      <c r="I153" s="10"/>
      <c r="J153" s="124" t="s">
        <v>13</v>
      </c>
      <c r="K153" s="125"/>
      <c r="L153" s="124" t="s">
        <v>14</v>
      </c>
      <c r="M153" s="125"/>
      <c r="N153" s="5" t="s">
        <v>6</v>
      </c>
    </row>
    <row r="154" spans="2:14" x14ac:dyDescent="0.35">
      <c r="B154" s="5" t="s">
        <v>10</v>
      </c>
      <c r="C154" s="5" t="s">
        <v>2</v>
      </c>
      <c r="D154" s="5" t="s">
        <v>1</v>
      </c>
      <c r="E154" s="5" t="s">
        <v>11</v>
      </c>
      <c r="F154" s="5" t="s">
        <v>1</v>
      </c>
      <c r="G154" s="5" t="s">
        <v>15</v>
      </c>
      <c r="I154" s="5" t="s">
        <v>10</v>
      </c>
      <c r="J154" s="5" t="s">
        <v>2</v>
      </c>
      <c r="K154" s="5" t="s">
        <v>1</v>
      </c>
      <c r="L154" s="5" t="s">
        <v>11</v>
      </c>
      <c r="M154" s="5" t="s">
        <v>1</v>
      </c>
      <c r="N154" s="5" t="s">
        <v>15</v>
      </c>
    </row>
    <row r="155" spans="2:14" x14ac:dyDescent="0.35">
      <c r="B155" s="7" t="s">
        <v>340</v>
      </c>
      <c r="C155" s="7">
        <f>22/3</f>
        <v>7.333333333333333</v>
      </c>
      <c r="D155" s="7" t="s">
        <v>17</v>
      </c>
      <c r="E155" s="5">
        <f>E7</f>
        <v>3.3574516898448738E-2</v>
      </c>
      <c r="F155" s="5" t="str">
        <f>D155</f>
        <v>Oz</v>
      </c>
      <c r="G155" s="5">
        <f>C155*E155</f>
        <v>0.24621312392195741</v>
      </c>
      <c r="I155" s="7" t="s">
        <v>251</v>
      </c>
      <c r="J155" s="7">
        <v>1</v>
      </c>
      <c r="K155" s="7" t="s">
        <v>251</v>
      </c>
      <c r="L155" s="5">
        <f>L7</f>
        <v>0.33333333333333331</v>
      </c>
      <c r="M155" s="5" t="str">
        <f>K155</f>
        <v>Wrap</v>
      </c>
      <c r="N155" s="5">
        <f>J155*L155</f>
        <v>0.33333333333333331</v>
      </c>
    </row>
    <row r="156" spans="2:14" x14ac:dyDescent="0.35">
      <c r="B156" s="7" t="s">
        <v>90</v>
      </c>
      <c r="C156" s="7">
        <v>2.375</v>
      </c>
      <c r="D156" s="7" t="s">
        <v>17</v>
      </c>
      <c r="E156" s="5"/>
      <c r="F156" s="5" t="str">
        <f t="shared" ref="F156:F158" si="94">D156</f>
        <v>Oz</v>
      </c>
      <c r="G156" s="5">
        <f t="shared" ref="G156:G158" si="95">C156*E156</f>
        <v>0</v>
      </c>
      <c r="I156" s="7" t="s">
        <v>90</v>
      </c>
      <c r="J156" s="7">
        <v>1.625</v>
      </c>
      <c r="K156" s="7" t="s">
        <v>17</v>
      </c>
      <c r="L156" s="5">
        <f>E156</f>
        <v>0</v>
      </c>
      <c r="M156" s="5" t="str">
        <f t="shared" ref="M156:M167" si="96">K156</f>
        <v>Oz</v>
      </c>
      <c r="N156" s="5">
        <f t="shared" ref="N156:N157" si="97">J156*L156</f>
        <v>0</v>
      </c>
    </row>
    <row r="157" spans="2:14" x14ac:dyDescent="0.35">
      <c r="B157" s="7" t="s">
        <v>91</v>
      </c>
      <c r="C157" s="7">
        <v>1.625</v>
      </c>
      <c r="D157" s="7" t="s">
        <v>17</v>
      </c>
      <c r="E157" s="5">
        <f>'Food Prices'!L85</f>
        <v>0.11374999999999999</v>
      </c>
      <c r="F157" s="5" t="str">
        <f t="shared" si="94"/>
        <v>Oz</v>
      </c>
      <c r="G157" s="5">
        <f t="shared" si="95"/>
        <v>0.18484374999999997</v>
      </c>
      <c r="I157" s="7" t="s">
        <v>91</v>
      </c>
      <c r="J157" s="7">
        <v>1.25</v>
      </c>
      <c r="K157" s="7" t="s">
        <v>17</v>
      </c>
      <c r="L157" s="5">
        <f t="shared" ref="L157:L169" si="98">E157</f>
        <v>0.11374999999999999</v>
      </c>
      <c r="M157" s="5" t="str">
        <f t="shared" si="96"/>
        <v>Oz</v>
      </c>
      <c r="N157" s="5">
        <f t="shared" si="97"/>
        <v>0.14218749999999999</v>
      </c>
    </row>
    <row r="158" spans="2:14" x14ac:dyDescent="0.35">
      <c r="B158" s="7" t="s">
        <v>107</v>
      </c>
      <c r="C158" s="7">
        <v>0.875</v>
      </c>
      <c r="D158" s="7" t="s">
        <v>17</v>
      </c>
      <c r="E158" s="5">
        <f>'Food Prices'!L83</f>
        <v>0.113375</v>
      </c>
      <c r="F158" s="5" t="str">
        <f t="shared" si="94"/>
        <v>Oz</v>
      </c>
      <c r="G158" s="5">
        <f t="shared" si="95"/>
        <v>9.9203125000000003E-2</v>
      </c>
      <c r="I158" s="7" t="s">
        <v>107</v>
      </c>
      <c r="J158" s="7">
        <v>0.5</v>
      </c>
      <c r="K158" s="7" t="s">
        <v>17</v>
      </c>
      <c r="L158" s="5">
        <f t="shared" si="98"/>
        <v>0.113375</v>
      </c>
      <c r="M158" s="5" t="str">
        <f t="shared" si="96"/>
        <v>Oz</v>
      </c>
      <c r="N158" s="5">
        <f t="shared" ref="N158:N167" si="99">J158*L158</f>
        <v>5.6687500000000002E-2</v>
      </c>
    </row>
    <row r="159" spans="2:14" x14ac:dyDescent="0.35">
      <c r="B159" s="7" t="s">
        <v>410</v>
      </c>
      <c r="C159" s="7">
        <v>1.875</v>
      </c>
      <c r="D159" s="7" t="s">
        <v>17</v>
      </c>
      <c r="E159" s="5"/>
      <c r="F159" s="5" t="str">
        <f t="shared" ref="F159:F167" si="100">D159</f>
        <v>Oz</v>
      </c>
      <c r="G159" s="5">
        <f t="shared" ref="G159:G167" si="101">C159*E159</f>
        <v>0</v>
      </c>
      <c r="I159" s="7" t="s">
        <v>410</v>
      </c>
      <c r="J159" s="7">
        <v>1.5</v>
      </c>
      <c r="K159" s="7" t="s">
        <v>17</v>
      </c>
      <c r="L159" s="5">
        <f t="shared" si="98"/>
        <v>0</v>
      </c>
      <c r="M159" s="5" t="str">
        <f t="shared" si="96"/>
        <v>Oz</v>
      </c>
      <c r="N159" s="5">
        <f t="shared" si="99"/>
        <v>0</v>
      </c>
    </row>
    <row r="160" spans="2:14" x14ac:dyDescent="0.35">
      <c r="B160" s="7" t="s">
        <v>276</v>
      </c>
      <c r="C160" s="7">
        <v>1</v>
      </c>
      <c r="D160" s="7" t="s">
        <v>17</v>
      </c>
      <c r="E160" s="5">
        <f>E11</f>
        <v>4.9785156249999997E-2</v>
      </c>
      <c r="F160" s="5" t="str">
        <f t="shared" si="100"/>
        <v>Oz</v>
      </c>
      <c r="G160" s="5">
        <f t="shared" si="101"/>
        <v>4.9785156249999997E-2</v>
      </c>
      <c r="I160" s="7" t="s">
        <v>276</v>
      </c>
      <c r="J160" s="7">
        <v>1</v>
      </c>
      <c r="K160" s="7" t="s">
        <v>17</v>
      </c>
      <c r="L160" s="5">
        <f t="shared" si="98"/>
        <v>4.9785156249999997E-2</v>
      </c>
      <c r="M160" s="5" t="str">
        <f t="shared" si="96"/>
        <v>Oz</v>
      </c>
      <c r="N160" s="5">
        <f t="shared" si="99"/>
        <v>4.9785156249999997E-2</v>
      </c>
    </row>
    <row r="161" spans="2:14" x14ac:dyDescent="0.35">
      <c r="B161" s="7" t="s">
        <v>344</v>
      </c>
      <c r="C161" s="7">
        <f>C12</f>
        <v>1</v>
      </c>
      <c r="D161" s="7" t="s">
        <v>17</v>
      </c>
      <c r="E161" s="5">
        <f t="shared" ref="E161:E169" si="102">E12</f>
        <v>0.15319098598213757</v>
      </c>
      <c r="F161" s="5" t="str">
        <f t="shared" si="100"/>
        <v>Oz</v>
      </c>
      <c r="G161" s="5">
        <f t="shared" si="101"/>
        <v>0.15319098598213757</v>
      </c>
      <c r="I161" s="7" t="s">
        <v>344</v>
      </c>
      <c r="J161" s="7">
        <f>J12</f>
        <v>1</v>
      </c>
      <c r="K161" s="7" t="s">
        <v>17</v>
      </c>
      <c r="L161" s="5">
        <f t="shared" si="98"/>
        <v>0.15319098598213757</v>
      </c>
      <c r="M161" s="5" t="str">
        <f t="shared" si="96"/>
        <v>Oz</v>
      </c>
      <c r="N161" s="5">
        <f t="shared" si="99"/>
        <v>0.15319098598213757</v>
      </c>
    </row>
    <row r="162" spans="2:14" x14ac:dyDescent="0.35">
      <c r="B162" s="7" t="s">
        <v>345</v>
      </c>
      <c r="C162" s="7">
        <f t="shared" ref="C162:C168" si="103">C13</f>
        <v>1</v>
      </c>
      <c r="D162" s="7" t="s">
        <v>17</v>
      </c>
      <c r="E162" s="5">
        <f t="shared" si="102"/>
        <v>1.85546875E-2</v>
      </c>
      <c r="F162" s="5" t="str">
        <f t="shared" si="100"/>
        <v>Oz</v>
      </c>
      <c r="G162" s="5">
        <f t="shared" si="101"/>
        <v>1.85546875E-2</v>
      </c>
      <c r="I162" s="7" t="s">
        <v>345</v>
      </c>
      <c r="J162" s="7">
        <f t="shared" ref="J162:J168" si="104">J13</f>
        <v>1</v>
      </c>
      <c r="K162" s="7" t="s">
        <v>17</v>
      </c>
      <c r="L162" s="5">
        <f t="shared" si="98"/>
        <v>1.85546875E-2</v>
      </c>
      <c r="M162" s="5" t="str">
        <f t="shared" si="96"/>
        <v>Oz</v>
      </c>
      <c r="N162" s="5">
        <f t="shared" si="99"/>
        <v>1.85546875E-2</v>
      </c>
    </row>
    <row r="163" spans="2:14" x14ac:dyDescent="0.35">
      <c r="B163" s="7" t="s">
        <v>257</v>
      </c>
      <c r="C163" s="7">
        <f t="shared" si="103"/>
        <v>6.0000000000000001E-3</v>
      </c>
      <c r="D163" s="7" t="str">
        <f>D14</f>
        <v>Oz</v>
      </c>
      <c r="E163" s="5">
        <f t="shared" si="102"/>
        <v>1.2116666666666667</v>
      </c>
      <c r="F163" s="5" t="str">
        <f t="shared" si="100"/>
        <v>Oz</v>
      </c>
      <c r="G163" s="5">
        <f t="shared" si="101"/>
        <v>7.2700000000000004E-3</v>
      </c>
      <c r="I163" s="7" t="s">
        <v>257</v>
      </c>
      <c r="J163" s="7">
        <f t="shared" si="104"/>
        <v>6.0000000000000001E-3</v>
      </c>
      <c r="K163" s="7" t="str">
        <f>K14</f>
        <v>Oz</v>
      </c>
      <c r="L163" s="5">
        <f t="shared" si="98"/>
        <v>1.2116666666666667</v>
      </c>
      <c r="M163" s="5" t="str">
        <f t="shared" si="96"/>
        <v>Oz</v>
      </c>
      <c r="N163" s="5">
        <f t="shared" si="99"/>
        <v>7.2700000000000004E-3</v>
      </c>
    </row>
    <row r="164" spans="2:14" x14ac:dyDescent="0.35">
      <c r="B164" s="7" t="s">
        <v>232</v>
      </c>
      <c r="C164" s="7">
        <f t="shared" si="103"/>
        <v>1.8055555555555556</v>
      </c>
      <c r="D164" s="7" t="s">
        <v>17</v>
      </c>
      <c r="E164" s="5">
        <f t="shared" si="102"/>
        <v>7.2727272727272724E-2</v>
      </c>
      <c r="F164" s="5" t="str">
        <f t="shared" si="100"/>
        <v>Oz</v>
      </c>
      <c r="G164" s="5">
        <f t="shared" si="101"/>
        <v>0.1313131313131313</v>
      </c>
      <c r="I164" s="7" t="s">
        <v>232</v>
      </c>
      <c r="J164" s="7">
        <f t="shared" si="104"/>
        <v>1.5277777777777777</v>
      </c>
      <c r="K164" s="7" t="s">
        <v>17</v>
      </c>
      <c r="L164" s="5">
        <f t="shared" si="98"/>
        <v>7.2727272727272724E-2</v>
      </c>
      <c r="M164" s="5" t="str">
        <f t="shared" si="96"/>
        <v>Oz</v>
      </c>
      <c r="N164" s="5">
        <f t="shared" si="99"/>
        <v>0.1111111111111111</v>
      </c>
    </row>
    <row r="165" spans="2:14" x14ac:dyDescent="0.35">
      <c r="B165" s="7" t="s">
        <v>233</v>
      </c>
      <c r="C165" s="7">
        <f t="shared" si="103"/>
        <v>1.4444444444444444</v>
      </c>
      <c r="D165" s="7" t="s">
        <v>17</v>
      </c>
      <c r="E165" s="5">
        <f t="shared" si="102"/>
        <v>9.7537878787878798E-2</v>
      </c>
      <c r="F165" s="5" t="str">
        <f t="shared" si="100"/>
        <v>Oz</v>
      </c>
      <c r="G165" s="5">
        <f t="shared" si="101"/>
        <v>0.14088804713804715</v>
      </c>
      <c r="I165" s="7" t="s">
        <v>233</v>
      </c>
      <c r="J165" s="7">
        <f t="shared" si="104"/>
        <v>1.2222222222222223</v>
      </c>
      <c r="K165" s="7" t="s">
        <v>17</v>
      </c>
      <c r="L165" s="5">
        <f t="shared" si="98"/>
        <v>9.7537878787878798E-2</v>
      </c>
      <c r="M165" s="5" t="str">
        <f t="shared" si="96"/>
        <v>Oz</v>
      </c>
      <c r="N165" s="5">
        <f t="shared" si="99"/>
        <v>0.11921296296296298</v>
      </c>
    </row>
    <row r="166" spans="2:14" x14ac:dyDescent="0.35">
      <c r="B166" s="7" t="s">
        <v>92</v>
      </c>
      <c r="C166" s="7">
        <v>2</v>
      </c>
      <c r="D166" s="87" t="s">
        <v>17</v>
      </c>
      <c r="E166" s="5">
        <f t="shared" si="102"/>
        <v>2.75E-2</v>
      </c>
      <c r="F166" s="88" t="str">
        <f t="shared" si="100"/>
        <v>Oz</v>
      </c>
      <c r="G166" s="5">
        <f t="shared" si="101"/>
        <v>5.5E-2</v>
      </c>
      <c r="I166" s="7" t="s">
        <v>92</v>
      </c>
      <c r="J166" s="7">
        <v>1.625</v>
      </c>
      <c r="K166" s="87" t="s">
        <v>17</v>
      </c>
      <c r="L166" s="5">
        <f t="shared" si="98"/>
        <v>2.75E-2</v>
      </c>
      <c r="M166" s="88" t="str">
        <f t="shared" si="96"/>
        <v>Oz</v>
      </c>
      <c r="N166" s="5">
        <f t="shared" si="99"/>
        <v>4.4687499999999998E-2</v>
      </c>
    </row>
    <row r="167" spans="2:14" x14ac:dyDescent="0.35">
      <c r="B167" s="7" t="s">
        <v>342</v>
      </c>
      <c r="C167" s="7">
        <f t="shared" si="103"/>
        <v>2.625</v>
      </c>
      <c r="D167" s="7" t="s">
        <v>17</v>
      </c>
      <c r="E167" s="5">
        <f t="shared" si="102"/>
        <v>0.1</v>
      </c>
      <c r="F167" s="5" t="str">
        <f t="shared" si="100"/>
        <v>Oz</v>
      </c>
      <c r="G167" s="5">
        <f t="shared" si="101"/>
        <v>0.26250000000000001</v>
      </c>
      <c r="I167" s="7" t="s">
        <v>342</v>
      </c>
      <c r="J167" s="7">
        <f t="shared" si="104"/>
        <v>2.625</v>
      </c>
      <c r="K167" s="7" t="s">
        <v>17</v>
      </c>
      <c r="L167" s="5">
        <f t="shared" si="98"/>
        <v>0.1</v>
      </c>
      <c r="M167" s="5" t="str">
        <f t="shared" si="96"/>
        <v>Oz</v>
      </c>
      <c r="N167" s="5">
        <f t="shared" si="99"/>
        <v>0.26250000000000001</v>
      </c>
    </row>
    <row r="168" spans="2:14" x14ac:dyDescent="0.35">
      <c r="B168" s="7" t="s">
        <v>302</v>
      </c>
      <c r="C168" s="7">
        <f t="shared" si="103"/>
        <v>18</v>
      </c>
      <c r="D168" s="7" t="s">
        <v>346</v>
      </c>
      <c r="E168" s="5">
        <f t="shared" si="102"/>
        <v>2.1658333333333334E-3</v>
      </c>
      <c r="F168" s="5" t="str">
        <f>D168</f>
        <v>Inch</v>
      </c>
      <c r="G168" s="5">
        <f>C168*E168</f>
        <v>3.8984999999999999E-2</v>
      </c>
      <c r="I168" s="7" t="s">
        <v>302</v>
      </c>
      <c r="J168" s="7">
        <f t="shared" si="104"/>
        <v>18</v>
      </c>
      <c r="K168" s="7" t="s">
        <v>346</v>
      </c>
      <c r="L168" s="5">
        <f>E168</f>
        <v>2.1658333333333334E-3</v>
      </c>
      <c r="M168" s="5" t="str">
        <f>K168</f>
        <v>Inch</v>
      </c>
      <c r="N168" s="5">
        <f>J168*L168</f>
        <v>3.8984999999999999E-2</v>
      </c>
    </row>
    <row r="169" spans="2:14" x14ac:dyDescent="0.35">
      <c r="B169" s="7" t="s">
        <v>343</v>
      </c>
      <c r="C169" s="7">
        <v>1</v>
      </c>
      <c r="D169" s="7" t="s">
        <v>292</v>
      </c>
      <c r="E169" s="5">
        <f t="shared" si="102"/>
        <v>0</v>
      </c>
      <c r="F169" s="5" t="str">
        <f>D169</f>
        <v>Count</v>
      </c>
      <c r="G169" s="5">
        <f>C169*E169</f>
        <v>0</v>
      </c>
      <c r="I169" s="7" t="s">
        <v>343</v>
      </c>
      <c r="J169" s="7">
        <v>1</v>
      </c>
      <c r="K169" s="7" t="s">
        <v>292</v>
      </c>
      <c r="L169" s="5">
        <f t="shared" si="98"/>
        <v>0</v>
      </c>
      <c r="M169" s="5" t="str">
        <f>K169</f>
        <v>Count</v>
      </c>
      <c r="N169" s="5">
        <f>J169*L169</f>
        <v>0</v>
      </c>
    </row>
  </sheetData>
  <mergeCells count="105">
    <mergeCell ref="C136:D136"/>
    <mergeCell ref="E136:F136"/>
    <mergeCell ref="J136:K136"/>
    <mergeCell ref="L136:M136"/>
    <mergeCell ref="B151:D151"/>
    <mergeCell ref="E151:F151"/>
    <mergeCell ref="I151:K151"/>
    <mergeCell ref="L151:M151"/>
    <mergeCell ref="C153:D153"/>
    <mergeCell ref="E153:F153"/>
    <mergeCell ref="J153:K153"/>
    <mergeCell ref="L153:M153"/>
    <mergeCell ref="B116:D116"/>
    <mergeCell ref="E116:F116"/>
    <mergeCell ref="I116:K116"/>
    <mergeCell ref="L116:M116"/>
    <mergeCell ref="C118:D118"/>
    <mergeCell ref="E118:F118"/>
    <mergeCell ref="J118:K118"/>
    <mergeCell ref="L118:M118"/>
    <mergeCell ref="B134:D134"/>
    <mergeCell ref="E134:F134"/>
    <mergeCell ref="I134:K134"/>
    <mergeCell ref="L134:M134"/>
    <mergeCell ref="C80:D80"/>
    <mergeCell ref="E80:F80"/>
    <mergeCell ref="J80:K80"/>
    <mergeCell ref="L80:M80"/>
    <mergeCell ref="B98:D98"/>
    <mergeCell ref="E98:F98"/>
    <mergeCell ref="I98:K98"/>
    <mergeCell ref="L98:M98"/>
    <mergeCell ref="C100:D100"/>
    <mergeCell ref="E100:F100"/>
    <mergeCell ref="J100:K100"/>
    <mergeCell ref="L100:M100"/>
    <mergeCell ref="B60:D60"/>
    <mergeCell ref="E60:F60"/>
    <mergeCell ref="I60:K60"/>
    <mergeCell ref="L60:M60"/>
    <mergeCell ref="C62:D62"/>
    <mergeCell ref="E62:F62"/>
    <mergeCell ref="J62:K62"/>
    <mergeCell ref="L62:M62"/>
    <mergeCell ref="B78:D78"/>
    <mergeCell ref="E78:F78"/>
    <mergeCell ref="I78:K78"/>
    <mergeCell ref="L78:M78"/>
    <mergeCell ref="E24:F24"/>
    <mergeCell ref="J24:K24"/>
    <mergeCell ref="L24:M24"/>
    <mergeCell ref="B42:D42"/>
    <mergeCell ref="E42:F42"/>
    <mergeCell ref="I42:K42"/>
    <mergeCell ref="L42:M42"/>
    <mergeCell ref="C44:D44"/>
    <mergeCell ref="E44:F44"/>
    <mergeCell ref="J44:K44"/>
    <mergeCell ref="L44:M44"/>
    <mergeCell ref="P24:U25"/>
    <mergeCell ref="P27:R27"/>
    <mergeCell ref="S27:T27"/>
    <mergeCell ref="L3:M3"/>
    <mergeCell ref="J5:K5"/>
    <mergeCell ref="L5:M5"/>
    <mergeCell ref="A1:G1"/>
    <mergeCell ref="H1:N1"/>
    <mergeCell ref="B3:D3"/>
    <mergeCell ref="E3:F3"/>
    <mergeCell ref="C5:D5"/>
    <mergeCell ref="E5:F5"/>
    <mergeCell ref="I3:K3"/>
    <mergeCell ref="P3:U3"/>
    <mergeCell ref="Q5:R5"/>
    <mergeCell ref="S5:T5"/>
    <mergeCell ref="Q16:R16"/>
    <mergeCell ref="S16:T16"/>
    <mergeCell ref="P14:U14"/>
    <mergeCell ref="B22:D22"/>
    <mergeCell ref="E22:F22"/>
    <mergeCell ref="I22:K22"/>
    <mergeCell ref="L22:M22"/>
    <mergeCell ref="C24:D24"/>
    <mergeCell ref="P57:R57"/>
    <mergeCell ref="S57:T57"/>
    <mergeCell ref="Q59:R59"/>
    <mergeCell ref="S59:T59"/>
    <mergeCell ref="P71:R71"/>
    <mergeCell ref="S71:T71"/>
    <mergeCell ref="Q29:R29"/>
    <mergeCell ref="S29:T29"/>
    <mergeCell ref="P42:R42"/>
    <mergeCell ref="S42:T42"/>
    <mergeCell ref="Q44:R44"/>
    <mergeCell ref="S44:T44"/>
    <mergeCell ref="P102:R102"/>
    <mergeCell ref="S102:T102"/>
    <mergeCell ref="Q104:R104"/>
    <mergeCell ref="S104:T104"/>
    <mergeCell ref="Q73:R73"/>
    <mergeCell ref="S73:T73"/>
    <mergeCell ref="P86:R86"/>
    <mergeCell ref="S86:T86"/>
    <mergeCell ref="Q88:R88"/>
    <mergeCell ref="S88:T88"/>
  </mergeCells>
  <pageMargins left="0.25" right="0.25" top="0.75" bottom="0.75" header="0.3" footer="0.3"/>
  <pageSetup scale="64"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908DB-BA48-45D3-BC55-B7CD20A4A47E}">
  <sheetPr codeName="Sheet9">
    <pageSetUpPr fitToPage="1"/>
  </sheetPr>
  <dimension ref="B1:U83"/>
  <sheetViews>
    <sheetView showGridLines="0" topLeftCell="C1" zoomScale="80" zoomScaleNormal="80" workbookViewId="0">
      <selection activeCell="B1" sqref="B1:N1"/>
    </sheetView>
  </sheetViews>
  <sheetFormatPr defaultRowHeight="14.5" x14ac:dyDescent="0.35"/>
  <cols>
    <col min="1" max="1" width="3.1796875" customWidth="1"/>
    <col min="2" max="2" width="16.6328125" bestFit="1" customWidth="1"/>
    <col min="3" max="3" width="12.26953125" bestFit="1" customWidth="1"/>
    <col min="5" max="5" width="12.26953125" bestFit="1" customWidth="1"/>
    <col min="9" max="9" width="15.453125" bestFit="1" customWidth="1"/>
    <col min="12" max="12" width="12.26953125" bestFit="1" customWidth="1"/>
    <col min="16" max="16" width="19.26953125" bestFit="1" customWidth="1"/>
    <col min="19" max="19" width="12.26953125" bestFit="1" customWidth="1"/>
  </cols>
  <sheetData>
    <row r="1" spans="2:21" ht="23.5" x14ac:dyDescent="0.55000000000000004">
      <c r="B1" s="118" t="s">
        <v>224</v>
      </c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</row>
    <row r="3" spans="2:21" ht="15.5" x14ac:dyDescent="0.35">
      <c r="B3" s="119" t="s">
        <v>375</v>
      </c>
      <c r="C3" s="120"/>
      <c r="D3" s="121"/>
      <c r="E3" s="122" t="s">
        <v>7</v>
      </c>
      <c r="F3" s="123"/>
      <c r="G3" s="30">
        <f>SUM(G7:G15)</f>
        <v>4.9464368023731371</v>
      </c>
      <c r="I3" s="119" t="s">
        <v>377</v>
      </c>
      <c r="J3" s="120"/>
      <c r="K3" s="121"/>
      <c r="L3" s="122" t="s">
        <v>7</v>
      </c>
      <c r="M3" s="123"/>
      <c r="N3" s="30">
        <f>SUM(N7:N13)</f>
        <v>3.2468500550585375</v>
      </c>
      <c r="P3" s="119" t="s">
        <v>387</v>
      </c>
      <c r="Q3" s="120"/>
      <c r="R3" s="121"/>
      <c r="S3" s="122" t="s">
        <v>7</v>
      </c>
      <c r="T3" s="123"/>
      <c r="U3" s="30">
        <f>SUM(U7:U13)</f>
        <v>2.0861208933336455</v>
      </c>
    </row>
    <row r="4" spans="2:21" x14ac:dyDescent="0.35">
      <c r="B4" s="9"/>
      <c r="G4" s="8"/>
      <c r="I4" s="9"/>
      <c r="N4" s="8"/>
      <c r="P4" s="9"/>
      <c r="U4" s="8"/>
    </row>
    <row r="5" spans="2:21" x14ac:dyDescent="0.35">
      <c r="B5" s="10"/>
      <c r="C5" s="124" t="s">
        <v>13</v>
      </c>
      <c r="D5" s="125"/>
      <c r="E5" s="124" t="s">
        <v>14</v>
      </c>
      <c r="F5" s="125"/>
      <c r="G5" s="5" t="s">
        <v>6</v>
      </c>
      <c r="I5" s="10"/>
      <c r="J5" s="124" t="s">
        <v>13</v>
      </c>
      <c r="K5" s="125"/>
      <c r="L5" s="124" t="s">
        <v>14</v>
      </c>
      <c r="M5" s="125"/>
      <c r="N5" s="5" t="s">
        <v>6</v>
      </c>
      <c r="P5" s="10"/>
      <c r="Q5" s="124" t="s">
        <v>13</v>
      </c>
      <c r="R5" s="125"/>
      <c r="S5" s="124" t="s">
        <v>14</v>
      </c>
      <c r="T5" s="125"/>
      <c r="U5" s="5" t="s">
        <v>6</v>
      </c>
    </row>
    <row r="6" spans="2:21" x14ac:dyDescent="0.35">
      <c r="B6" s="5" t="s">
        <v>10</v>
      </c>
      <c r="C6" s="5" t="s">
        <v>2</v>
      </c>
      <c r="D6" s="5" t="s">
        <v>1</v>
      </c>
      <c r="E6" s="5" t="s">
        <v>11</v>
      </c>
      <c r="F6" s="5" t="s">
        <v>1</v>
      </c>
      <c r="G6" s="5" t="s">
        <v>15</v>
      </c>
      <c r="I6" s="5" t="s">
        <v>10</v>
      </c>
      <c r="J6" s="5" t="s">
        <v>2</v>
      </c>
      <c r="K6" s="5" t="s">
        <v>1</v>
      </c>
      <c r="L6" s="5" t="s">
        <v>11</v>
      </c>
      <c r="M6" s="5" t="s">
        <v>1</v>
      </c>
      <c r="N6" s="5" t="s">
        <v>15</v>
      </c>
      <c r="P6" s="5" t="s">
        <v>10</v>
      </c>
      <c r="Q6" s="5" t="s">
        <v>2</v>
      </c>
      <c r="R6" s="5" t="s">
        <v>1</v>
      </c>
      <c r="S6" s="5" t="s">
        <v>11</v>
      </c>
      <c r="T6" s="5" t="s">
        <v>1</v>
      </c>
      <c r="U6" s="5" t="s">
        <v>15</v>
      </c>
    </row>
    <row r="7" spans="2:21" x14ac:dyDescent="0.35">
      <c r="B7" s="7" t="s">
        <v>340</v>
      </c>
      <c r="C7" s="7">
        <f>22/3</f>
        <v>7.333333333333333</v>
      </c>
      <c r="D7" s="7" t="s">
        <v>17</v>
      </c>
      <c r="E7" s="5">
        <f>Recipes!N19</f>
        <v>3.3574516898448738E-2</v>
      </c>
      <c r="F7" s="5" t="str">
        <f>D7</f>
        <v>Oz</v>
      </c>
      <c r="G7" s="5">
        <f>C7*E7</f>
        <v>0.24621312392195741</v>
      </c>
      <c r="I7" s="7" t="s">
        <v>340</v>
      </c>
      <c r="J7" s="7">
        <f>22/3</f>
        <v>7.333333333333333</v>
      </c>
      <c r="K7" s="7" t="s">
        <v>17</v>
      </c>
      <c r="L7" s="5">
        <f>E7</f>
        <v>3.3574516898448738E-2</v>
      </c>
      <c r="M7" s="5" t="str">
        <f>K7</f>
        <v>Oz</v>
      </c>
      <c r="N7" s="5">
        <f>J7*L7</f>
        <v>0.24621312392195741</v>
      </c>
      <c r="P7" s="7" t="s">
        <v>340</v>
      </c>
      <c r="Q7" s="7">
        <f>22/3</f>
        <v>7.333333333333333</v>
      </c>
      <c r="R7" s="7" t="s">
        <v>17</v>
      </c>
      <c r="S7" s="5">
        <f>E7</f>
        <v>3.3574516898448738E-2</v>
      </c>
      <c r="T7" s="5" t="str">
        <f>R7</f>
        <v>Oz</v>
      </c>
      <c r="U7" s="5">
        <f>Q7*S7</f>
        <v>0.24621312392195741</v>
      </c>
    </row>
    <row r="8" spans="2:21" x14ac:dyDescent="0.35">
      <c r="B8" s="7" t="s">
        <v>242</v>
      </c>
      <c r="C8" s="7">
        <v>2</v>
      </c>
      <c r="D8" s="7" t="s">
        <v>292</v>
      </c>
      <c r="E8" s="5">
        <f>'Food Prices'!P62</f>
        <v>1.875</v>
      </c>
      <c r="F8" s="5" t="str">
        <f t="shared" ref="F8:F13" si="0">D8</f>
        <v>Count</v>
      </c>
      <c r="G8" s="5">
        <f t="shared" ref="G8:G13" si="1">C8*E8</f>
        <v>3.75</v>
      </c>
      <c r="I8" s="7" t="s">
        <v>96</v>
      </c>
      <c r="J8" s="7">
        <v>1.5</v>
      </c>
      <c r="K8" s="7" t="s">
        <v>96</v>
      </c>
      <c r="L8" s="5">
        <f>'Food Prices'!P70</f>
        <v>1.625</v>
      </c>
      <c r="M8" s="5" t="str">
        <f t="shared" ref="M8:M11" si="2">K8</f>
        <v>Steak</v>
      </c>
      <c r="N8" s="5">
        <f t="shared" ref="N8:N11" si="3">J8*L8</f>
        <v>2.4375</v>
      </c>
      <c r="P8" s="7" t="s">
        <v>324</v>
      </c>
      <c r="Q8" s="7">
        <v>9.5</v>
      </c>
      <c r="R8" s="7" t="s">
        <v>17</v>
      </c>
      <c r="S8" s="5">
        <f>L49</f>
        <v>0.126546875</v>
      </c>
      <c r="T8" s="5" t="str">
        <f t="shared" ref="T8:T11" si="4">R8</f>
        <v>Oz</v>
      </c>
      <c r="U8" s="5">
        <f t="shared" ref="U8:U11" si="5">Q8*S8</f>
        <v>1.2021953125</v>
      </c>
    </row>
    <row r="9" spans="2:21" x14ac:dyDescent="0.35">
      <c r="B9" s="7" t="s">
        <v>232</v>
      </c>
      <c r="C9" s="7">
        <f>'Cold Sub &amp; Wrap'!C15</f>
        <v>1.8055555555555556</v>
      </c>
      <c r="D9" s="7" t="s">
        <v>17</v>
      </c>
      <c r="E9" s="5">
        <f>'Cold Sub &amp; Wrap'!E15</f>
        <v>7.2727272727272724E-2</v>
      </c>
      <c r="F9" s="5" t="str">
        <f t="shared" si="0"/>
        <v>Oz</v>
      </c>
      <c r="G9" s="5">
        <f t="shared" si="1"/>
        <v>0.1313131313131313</v>
      </c>
      <c r="I9" s="7" t="s">
        <v>240</v>
      </c>
      <c r="J9" s="7">
        <v>2</v>
      </c>
      <c r="K9" s="7" t="s">
        <v>128</v>
      </c>
      <c r="L9" s="5">
        <f>'Food Prices'!P17</f>
        <v>0.1046875</v>
      </c>
      <c r="M9" s="5" t="str">
        <f t="shared" si="2"/>
        <v>Slice</v>
      </c>
      <c r="N9" s="5">
        <f t="shared" si="3"/>
        <v>0.20937500000000001</v>
      </c>
      <c r="P9" s="7" t="s">
        <v>102</v>
      </c>
      <c r="Q9" s="7">
        <f>C72</f>
        <v>4</v>
      </c>
      <c r="R9" s="7" t="s">
        <v>17</v>
      </c>
      <c r="S9" s="5">
        <f>L11</f>
        <v>4.7565978811255329E-2</v>
      </c>
      <c r="T9" s="5" t="str">
        <f t="shared" si="4"/>
        <v>Oz</v>
      </c>
      <c r="U9" s="5">
        <f t="shared" si="5"/>
        <v>0.19026391524502131</v>
      </c>
    </row>
    <row r="10" spans="2:21" x14ac:dyDescent="0.35">
      <c r="B10" s="7" t="s">
        <v>233</v>
      </c>
      <c r="C10" s="7">
        <f>'Cold Sub &amp; Wrap'!C16</f>
        <v>1.4444444444444444</v>
      </c>
      <c r="D10" s="7" t="s">
        <v>17</v>
      </c>
      <c r="E10" s="5">
        <f>'Cold Sub &amp; Wrap'!E16</f>
        <v>9.7537878787878798E-2</v>
      </c>
      <c r="F10" s="5" t="str">
        <f t="shared" si="0"/>
        <v>Oz</v>
      </c>
      <c r="G10" s="5">
        <f t="shared" si="1"/>
        <v>0.14088804713804715</v>
      </c>
      <c r="I10" s="7" t="s">
        <v>92</v>
      </c>
      <c r="J10" s="7">
        <v>5.8250000000000002</v>
      </c>
      <c r="K10" s="87" t="s">
        <v>17</v>
      </c>
      <c r="L10" s="5">
        <f>E11</f>
        <v>2.75E-2</v>
      </c>
      <c r="M10" s="88" t="str">
        <f t="shared" si="2"/>
        <v>Oz</v>
      </c>
      <c r="N10" s="5">
        <f t="shared" si="3"/>
        <v>0.16018750000000001</v>
      </c>
      <c r="P10" s="7" t="s">
        <v>104</v>
      </c>
      <c r="Q10" s="7">
        <f t="shared" ref="Q10:Q11" si="6">C73</f>
        <v>0.125</v>
      </c>
      <c r="R10" s="7" t="s">
        <v>17</v>
      </c>
      <c r="S10" s="5">
        <f>E73</f>
        <v>0.52083333333333337</v>
      </c>
      <c r="T10" s="5" t="str">
        <f t="shared" si="4"/>
        <v>Oz</v>
      </c>
      <c r="U10" s="5">
        <f t="shared" si="5"/>
        <v>6.5104166666666671E-2</v>
      </c>
    </row>
    <row r="11" spans="2:21" x14ac:dyDescent="0.35">
      <c r="B11" s="7" t="s">
        <v>92</v>
      </c>
      <c r="C11" s="7">
        <f>'Cold Sub &amp; Wrap'!C17</f>
        <v>1.125</v>
      </c>
      <c r="D11" s="87" t="s">
        <v>17</v>
      </c>
      <c r="E11" s="5">
        <f>'Cold Sub &amp; Wrap'!E17</f>
        <v>2.75E-2</v>
      </c>
      <c r="F11" s="88" t="str">
        <f t="shared" si="0"/>
        <v>Oz</v>
      </c>
      <c r="G11" s="5">
        <f t="shared" si="1"/>
        <v>3.09375E-2</v>
      </c>
      <c r="I11" s="7" t="s">
        <v>102</v>
      </c>
      <c r="J11" s="7">
        <v>3.25</v>
      </c>
      <c r="K11" s="7" t="s">
        <v>17</v>
      </c>
      <c r="L11" s="5">
        <f>Recipes!G5</f>
        <v>4.7565978811255329E-2</v>
      </c>
      <c r="M11" s="5" t="str">
        <f t="shared" si="2"/>
        <v>Oz</v>
      </c>
      <c r="N11" s="5">
        <f t="shared" si="3"/>
        <v>0.15458943113657983</v>
      </c>
      <c r="P11" s="7" t="s">
        <v>22</v>
      </c>
      <c r="Q11" s="7">
        <f t="shared" si="6"/>
        <v>1.875</v>
      </c>
      <c r="R11" s="7" t="s">
        <v>17</v>
      </c>
      <c r="S11" s="5">
        <f>E74</f>
        <v>0.18312500000000001</v>
      </c>
      <c r="T11" s="5" t="str">
        <f t="shared" si="4"/>
        <v>Oz</v>
      </c>
      <c r="U11" s="5">
        <f t="shared" si="5"/>
        <v>0.34335937500000002</v>
      </c>
    </row>
    <row r="12" spans="2:21" x14ac:dyDescent="0.35">
      <c r="B12" s="7" t="s">
        <v>342</v>
      </c>
      <c r="C12" s="7">
        <f>'Cold Sub &amp; Wrap'!C18</f>
        <v>2.625</v>
      </c>
      <c r="D12" s="7" t="s">
        <v>17</v>
      </c>
      <c r="E12" s="5">
        <f>'Cold Sub &amp; Wrap'!E18</f>
        <v>0.1</v>
      </c>
      <c r="F12" s="5" t="str">
        <f t="shared" si="0"/>
        <v>Oz</v>
      </c>
      <c r="G12" s="5">
        <f t="shared" si="1"/>
        <v>0.26250000000000001</v>
      </c>
      <c r="I12" s="7" t="s">
        <v>302</v>
      </c>
      <c r="J12" s="7">
        <f>C14</f>
        <v>18</v>
      </c>
      <c r="K12" s="7" t="s">
        <v>346</v>
      </c>
      <c r="L12" s="5">
        <f>E14</f>
        <v>2.1658333333333334E-3</v>
      </c>
      <c r="M12" s="5" t="str">
        <f>K12</f>
        <v>Inch</v>
      </c>
      <c r="N12" s="5">
        <f>J12*L12</f>
        <v>3.8984999999999999E-2</v>
      </c>
      <c r="P12" s="7" t="s">
        <v>302</v>
      </c>
      <c r="Q12" s="7">
        <f>C14</f>
        <v>18</v>
      </c>
      <c r="R12" s="7" t="s">
        <v>346</v>
      </c>
      <c r="S12" s="5">
        <f>E14</f>
        <v>2.1658333333333334E-3</v>
      </c>
      <c r="T12" s="5" t="str">
        <f>R12</f>
        <v>Inch</v>
      </c>
      <c r="U12" s="5">
        <f>Q12*S12</f>
        <v>3.8984999999999999E-2</v>
      </c>
    </row>
    <row r="13" spans="2:21" x14ac:dyDescent="0.35">
      <c r="B13" s="7" t="s">
        <v>278</v>
      </c>
      <c r="C13" s="7">
        <v>2</v>
      </c>
      <c r="D13" s="7" t="s">
        <v>298</v>
      </c>
      <c r="E13" s="5">
        <f>'Food Prices'!J41</f>
        <v>0.17280000000000001</v>
      </c>
      <c r="F13" s="5" t="str">
        <f t="shared" si="0"/>
        <v>Pack</v>
      </c>
      <c r="G13" s="5">
        <f t="shared" si="1"/>
        <v>0.34560000000000002</v>
      </c>
      <c r="I13" s="7" t="s">
        <v>343</v>
      </c>
      <c r="J13" s="7">
        <v>1</v>
      </c>
      <c r="K13" s="7" t="s">
        <v>292</v>
      </c>
      <c r="L13" s="5">
        <f>E15</f>
        <v>0</v>
      </c>
      <c r="M13" s="5" t="str">
        <f>K13</f>
        <v>Count</v>
      </c>
      <c r="N13" s="5">
        <f>J13*L13</f>
        <v>0</v>
      </c>
      <c r="P13" s="7" t="s">
        <v>343</v>
      </c>
      <c r="Q13" s="7">
        <v>1</v>
      </c>
      <c r="R13" s="7" t="s">
        <v>292</v>
      </c>
      <c r="S13" s="5">
        <f>E15</f>
        <v>0</v>
      </c>
      <c r="T13" s="5" t="str">
        <f>R13</f>
        <v>Count</v>
      </c>
      <c r="U13" s="5">
        <f>Q13*S13</f>
        <v>0</v>
      </c>
    </row>
    <row r="14" spans="2:21" x14ac:dyDescent="0.35">
      <c r="B14" s="7" t="s">
        <v>302</v>
      </c>
      <c r="C14" s="7">
        <f>'Cold Sub &amp; Wrap'!C19</f>
        <v>18</v>
      </c>
      <c r="D14" s="7" t="s">
        <v>346</v>
      </c>
      <c r="E14" s="5">
        <f>'Cold Sub &amp; Wrap'!E19</f>
        <v>2.1658333333333334E-3</v>
      </c>
      <c r="F14" s="5" t="str">
        <f>D14</f>
        <v>Inch</v>
      </c>
      <c r="G14" s="5">
        <f>C14*E14</f>
        <v>3.8984999999999999E-2</v>
      </c>
    </row>
    <row r="15" spans="2:21" ht="15.5" x14ac:dyDescent="0.35">
      <c r="B15" s="7" t="s">
        <v>343</v>
      </c>
      <c r="C15" s="7">
        <v>1</v>
      </c>
      <c r="D15" s="7" t="s">
        <v>292</v>
      </c>
      <c r="E15" s="5">
        <f>'Cold Sub &amp; Wrap'!E20</f>
        <v>0</v>
      </c>
      <c r="F15" s="5" t="str">
        <f>D15</f>
        <v>Count</v>
      </c>
      <c r="G15" s="5">
        <f>C15*E15</f>
        <v>0</v>
      </c>
      <c r="I15" s="119" t="s">
        <v>378</v>
      </c>
      <c r="J15" s="120"/>
      <c r="K15" s="121"/>
      <c r="L15" s="122" t="s">
        <v>7</v>
      </c>
      <c r="M15" s="123"/>
      <c r="N15" s="30">
        <f>SUM(N19:N27)</f>
        <v>3.696188764735957</v>
      </c>
      <c r="P15" s="119" t="s">
        <v>388</v>
      </c>
      <c r="Q15" s="120"/>
      <c r="R15" s="121"/>
      <c r="S15" s="122" t="s">
        <v>7</v>
      </c>
      <c r="T15" s="123"/>
      <c r="U15" s="30">
        <f>SUM(U19:U25)</f>
        <v>2.3651755808336454</v>
      </c>
    </row>
    <row r="16" spans="2:21" x14ac:dyDescent="0.35">
      <c r="I16" s="9"/>
      <c r="N16" s="8"/>
      <c r="P16" s="9"/>
      <c r="U16" s="8"/>
    </row>
    <row r="17" spans="2:21" ht="15.5" x14ac:dyDescent="0.35">
      <c r="B17" s="119" t="s">
        <v>376</v>
      </c>
      <c r="C17" s="120"/>
      <c r="D17" s="121"/>
      <c r="E17" s="122" t="s">
        <v>7</v>
      </c>
      <c r="F17" s="123"/>
      <c r="G17" s="30">
        <f>SUM(G21:G30)</f>
        <v>4.0081844586231359</v>
      </c>
      <c r="I17" s="10"/>
      <c r="J17" s="124" t="s">
        <v>13</v>
      </c>
      <c r="K17" s="125"/>
      <c r="L17" s="124" t="s">
        <v>14</v>
      </c>
      <c r="M17" s="125"/>
      <c r="N17" s="5" t="s">
        <v>6</v>
      </c>
      <c r="P17" s="10"/>
      <c r="Q17" s="124" t="s">
        <v>13</v>
      </c>
      <c r="R17" s="125"/>
      <c r="S17" s="124" t="s">
        <v>14</v>
      </c>
      <c r="T17" s="125"/>
      <c r="U17" s="5" t="s">
        <v>6</v>
      </c>
    </row>
    <row r="18" spans="2:21" x14ac:dyDescent="0.35">
      <c r="B18" s="9"/>
      <c r="G18" s="8"/>
      <c r="I18" s="5" t="s">
        <v>10</v>
      </c>
      <c r="J18" s="5" t="s">
        <v>2</v>
      </c>
      <c r="K18" s="5" t="s">
        <v>1</v>
      </c>
      <c r="L18" s="5" t="s">
        <v>11</v>
      </c>
      <c r="M18" s="5" t="s">
        <v>1</v>
      </c>
      <c r="N18" s="5" t="s">
        <v>15</v>
      </c>
      <c r="P18" s="5" t="s">
        <v>10</v>
      </c>
      <c r="Q18" s="5" t="s">
        <v>2</v>
      </c>
      <c r="R18" s="5" t="s">
        <v>1</v>
      </c>
      <c r="S18" s="5" t="s">
        <v>11</v>
      </c>
      <c r="T18" s="5" t="s">
        <v>1</v>
      </c>
      <c r="U18" s="5" t="s">
        <v>15</v>
      </c>
    </row>
    <row r="19" spans="2:21" x14ac:dyDescent="0.35">
      <c r="B19" s="10"/>
      <c r="C19" s="124" t="s">
        <v>13</v>
      </c>
      <c r="D19" s="125"/>
      <c r="E19" s="124" t="s">
        <v>14</v>
      </c>
      <c r="F19" s="125"/>
      <c r="G19" s="5" t="s">
        <v>6</v>
      </c>
      <c r="I19" s="7" t="s">
        <v>340</v>
      </c>
      <c r="J19" s="7">
        <f>22/3</f>
        <v>7.333333333333333</v>
      </c>
      <c r="K19" s="7" t="s">
        <v>17</v>
      </c>
      <c r="L19" s="5">
        <f>E7</f>
        <v>3.3574516898448738E-2</v>
      </c>
      <c r="M19" s="5" t="str">
        <f>K19</f>
        <v>Oz</v>
      </c>
      <c r="N19" s="5">
        <f>J19*L19</f>
        <v>0.24621312392195741</v>
      </c>
      <c r="P19" s="7" t="s">
        <v>340</v>
      </c>
      <c r="Q19" s="7">
        <f>22/3</f>
        <v>7.333333333333333</v>
      </c>
      <c r="R19" s="7" t="s">
        <v>17</v>
      </c>
      <c r="S19" s="5">
        <f>E7</f>
        <v>3.3574516898448738E-2</v>
      </c>
      <c r="T19" s="5" t="str">
        <f>R19</f>
        <v>Oz</v>
      </c>
      <c r="U19" s="5">
        <f>Q19*S19</f>
        <v>0.24621312392195741</v>
      </c>
    </row>
    <row r="20" spans="2:21" x14ac:dyDescent="0.35">
      <c r="B20" s="5" t="s">
        <v>10</v>
      </c>
      <c r="C20" s="5" t="s">
        <v>2</v>
      </c>
      <c r="D20" s="5" t="s">
        <v>1</v>
      </c>
      <c r="E20" s="5" t="s">
        <v>11</v>
      </c>
      <c r="F20" s="5" t="s">
        <v>1</v>
      </c>
      <c r="G20" s="5" t="s">
        <v>15</v>
      </c>
      <c r="I20" s="7" t="s">
        <v>96</v>
      </c>
      <c r="J20" s="7">
        <v>1.5</v>
      </c>
      <c r="K20" s="7" t="s">
        <v>96</v>
      </c>
      <c r="L20" s="5">
        <f>L8</f>
        <v>1.625</v>
      </c>
      <c r="M20" s="5" t="str">
        <f t="shared" ref="M20:M24" si="7">K20</f>
        <v>Steak</v>
      </c>
      <c r="N20" s="5">
        <f t="shared" ref="N20:N24" si="8">J20*L20</f>
        <v>2.4375</v>
      </c>
      <c r="P20" s="7" t="s">
        <v>9</v>
      </c>
      <c r="Q20" s="7">
        <v>3</v>
      </c>
      <c r="R20" s="7" t="s">
        <v>30</v>
      </c>
      <c r="S20" s="5">
        <f>'Food Prices'!P60</f>
        <v>0.49375000000000002</v>
      </c>
      <c r="T20" s="5" t="str">
        <f t="shared" ref="T20:T23" si="9">R20</f>
        <v>ct</v>
      </c>
      <c r="U20" s="5">
        <f t="shared" ref="U20:U23" si="10">Q20*S20</f>
        <v>1.4812500000000002</v>
      </c>
    </row>
    <row r="21" spans="2:21" x14ac:dyDescent="0.35">
      <c r="B21" s="7" t="s">
        <v>340</v>
      </c>
      <c r="C21" s="7">
        <f>22/3</f>
        <v>7.333333333333333</v>
      </c>
      <c r="D21" s="7" t="s">
        <v>17</v>
      </c>
      <c r="E21" s="5">
        <f>E7</f>
        <v>3.3574516898448738E-2</v>
      </c>
      <c r="F21" s="5" t="str">
        <f>D21</f>
        <v>Oz</v>
      </c>
      <c r="G21" s="5">
        <f>C21*E21</f>
        <v>0.24621312392195741</v>
      </c>
      <c r="I21" s="7" t="s">
        <v>240</v>
      </c>
      <c r="J21" s="7">
        <v>2</v>
      </c>
      <c r="K21" s="7" t="s">
        <v>128</v>
      </c>
      <c r="L21" s="5">
        <f>L9</f>
        <v>0.1046875</v>
      </c>
      <c r="M21" s="5" t="str">
        <f t="shared" si="7"/>
        <v>Slice</v>
      </c>
      <c r="N21" s="5">
        <f t="shared" si="8"/>
        <v>0.20937500000000001</v>
      </c>
      <c r="P21" s="7" t="s">
        <v>102</v>
      </c>
      <c r="Q21" s="7">
        <f>C72</f>
        <v>4</v>
      </c>
      <c r="R21" s="7" t="s">
        <v>17</v>
      </c>
      <c r="S21" s="5">
        <f>L11</f>
        <v>4.7565978811255329E-2</v>
      </c>
      <c r="T21" s="5" t="str">
        <f t="shared" si="9"/>
        <v>Oz</v>
      </c>
      <c r="U21" s="5">
        <f t="shared" si="10"/>
        <v>0.19026391524502131</v>
      </c>
    </row>
    <row r="22" spans="2:21" x14ac:dyDescent="0.35">
      <c r="B22" s="7" t="s">
        <v>98</v>
      </c>
      <c r="C22" s="7">
        <v>1.5</v>
      </c>
      <c r="D22" s="7" t="s">
        <v>226</v>
      </c>
      <c r="E22" s="5">
        <f>Pizza!E210</f>
        <v>1.9321249999999999</v>
      </c>
      <c r="F22" s="5" t="str">
        <f t="shared" ref="F22:F28" si="11">D22</f>
        <v>Patty</v>
      </c>
      <c r="G22" s="5">
        <f t="shared" ref="G22:G28" si="12">C22*E22</f>
        <v>2.8981874999999997</v>
      </c>
      <c r="I22" s="7" t="s">
        <v>92</v>
      </c>
      <c r="J22" s="7">
        <v>3.125</v>
      </c>
      <c r="K22" s="7" t="s">
        <v>17</v>
      </c>
      <c r="L22" s="5">
        <f>L10</f>
        <v>2.75E-2</v>
      </c>
      <c r="M22" s="88" t="str">
        <f t="shared" si="7"/>
        <v>Oz</v>
      </c>
      <c r="N22" s="5">
        <f t="shared" si="8"/>
        <v>8.59375E-2</v>
      </c>
      <c r="P22" s="7" t="s">
        <v>104</v>
      </c>
      <c r="Q22" s="7">
        <f t="shared" ref="Q22:Q23" si="13">C73</f>
        <v>0.125</v>
      </c>
      <c r="R22" s="7" t="s">
        <v>17</v>
      </c>
      <c r="S22" s="5">
        <f>E73</f>
        <v>0.52083333333333337</v>
      </c>
      <c r="T22" s="5" t="str">
        <f t="shared" si="9"/>
        <v>Oz</v>
      </c>
      <c r="U22" s="5">
        <f t="shared" si="10"/>
        <v>6.5104166666666671E-2</v>
      </c>
    </row>
    <row r="23" spans="2:21" x14ac:dyDescent="0.35">
      <c r="B23" s="7" t="s">
        <v>240</v>
      </c>
      <c r="C23" s="7">
        <v>2</v>
      </c>
      <c r="D23" s="7" t="s">
        <v>128</v>
      </c>
      <c r="E23" s="5">
        <f>L9</f>
        <v>0.1046875</v>
      </c>
      <c r="F23" s="5" t="str">
        <f t="shared" ref="F23" si="14">D23</f>
        <v>Slice</v>
      </c>
      <c r="G23" s="5">
        <f t="shared" ref="G23" si="15">C23*E23</f>
        <v>0.20937500000000001</v>
      </c>
      <c r="I23" s="7" t="s">
        <v>91</v>
      </c>
      <c r="J23" s="7">
        <v>1.75</v>
      </c>
      <c r="K23" s="7" t="s">
        <v>17</v>
      </c>
      <c r="L23" s="5">
        <f>Pizza!E42</f>
        <v>0.11374999999999999</v>
      </c>
      <c r="M23" s="88" t="str">
        <f t="shared" si="7"/>
        <v>Oz</v>
      </c>
      <c r="N23" s="5">
        <f t="shared" si="8"/>
        <v>0.19906249999999998</v>
      </c>
      <c r="P23" s="7" t="s">
        <v>22</v>
      </c>
      <c r="Q23" s="7">
        <f t="shared" si="13"/>
        <v>1.875</v>
      </c>
      <c r="R23" s="7" t="s">
        <v>17</v>
      </c>
      <c r="S23" s="5">
        <f>E74</f>
        <v>0.18312500000000001</v>
      </c>
      <c r="T23" s="5" t="str">
        <f t="shared" si="9"/>
        <v>Oz</v>
      </c>
      <c r="U23" s="5">
        <f t="shared" si="10"/>
        <v>0.34335937500000002</v>
      </c>
    </row>
    <row r="24" spans="2:21" x14ac:dyDescent="0.35">
      <c r="B24" s="7" t="s">
        <v>232</v>
      </c>
      <c r="C24" s="7">
        <f>C9</f>
        <v>1.8055555555555556</v>
      </c>
      <c r="D24" s="7" t="s">
        <v>17</v>
      </c>
      <c r="E24" s="5">
        <f>E9</f>
        <v>7.2727272727272724E-2</v>
      </c>
      <c r="F24" s="5" t="str">
        <f t="shared" si="11"/>
        <v>Oz</v>
      </c>
      <c r="G24" s="5">
        <f t="shared" si="12"/>
        <v>0.1313131313131313</v>
      </c>
      <c r="I24" s="7" t="s">
        <v>90</v>
      </c>
      <c r="J24" s="7">
        <v>2.625</v>
      </c>
      <c r="K24" s="7" t="s">
        <v>17</v>
      </c>
      <c r="L24" s="5">
        <f>Pizza!E41</f>
        <v>0.12362903225806451</v>
      </c>
      <c r="M24" s="88" t="str">
        <f t="shared" si="7"/>
        <v>Oz</v>
      </c>
      <c r="N24" s="5">
        <f t="shared" si="8"/>
        <v>0.32452620967741935</v>
      </c>
      <c r="P24" s="7" t="s">
        <v>302</v>
      </c>
      <c r="Q24" s="7">
        <f>C14</f>
        <v>18</v>
      </c>
      <c r="R24" s="7" t="s">
        <v>346</v>
      </c>
      <c r="S24" s="5">
        <f>E14</f>
        <v>2.1658333333333334E-3</v>
      </c>
      <c r="T24" s="5" t="str">
        <f>R24</f>
        <v>Inch</v>
      </c>
      <c r="U24" s="5">
        <f>Q24*S24</f>
        <v>3.8984999999999999E-2</v>
      </c>
    </row>
    <row r="25" spans="2:21" x14ac:dyDescent="0.35">
      <c r="B25" s="7" t="s">
        <v>233</v>
      </c>
      <c r="C25" s="7">
        <f t="shared" ref="C25:C27" si="16">C10</f>
        <v>1.4444444444444444</v>
      </c>
      <c r="D25" s="7" t="s">
        <v>17</v>
      </c>
      <c r="E25" s="5">
        <f t="shared" ref="E25:E27" si="17">E10</f>
        <v>9.7537878787878798E-2</v>
      </c>
      <c r="F25" s="5" t="str">
        <f t="shared" si="11"/>
        <v>Oz</v>
      </c>
      <c r="G25" s="5">
        <f t="shared" si="12"/>
        <v>0.14088804713804715</v>
      </c>
      <c r="I25" s="7" t="s">
        <v>102</v>
      </c>
      <c r="J25" s="7">
        <f>J11</f>
        <v>3.25</v>
      </c>
      <c r="K25" s="7" t="s">
        <v>17</v>
      </c>
      <c r="L25" s="5">
        <f>L11</f>
        <v>4.7565978811255329E-2</v>
      </c>
      <c r="M25" s="88" t="str">
        <f>K25</f>
        <v>Oz</v>
      </c>
      <c r="N25" s="5">
        <f>J25*L25</f>
        <v>0.15458943113657983</v>
      </c>
      <c r="P25" s="7" t="s">
        <v>343</v>
      </c>
      <c r="Q25" s="7">
        <v>1</v>
      </c>
      <c r="R25" s="7" t="s">
        <v>292</v>
      </c>
      <c r="S25" s="5">
        <f>E15</f>
        <v>0</v>
      </c>
      <c r="T25" s="5" t="str">
        <f>R25</f>
        <v>Count</v>
      </c>
      <c r="U25" s="5">
        <f>Q25*S25</f>
        <v>0</v>
      </c>
    </row>
    <row r="26" spans="2:21" x14ac:dyDescent="0.35">
      <c r="B26" s="7" t="s">
        <v>92</v>
      </c>
      <c r="C26" s="7">
        <f t="shared" si="16"/>
        <v>1.125</v>
      </c>
      <c r="D26" s="87" t="s">
        <v>17</v>
      </c>
      <c r="E26" s="5">
        <f t="shared" si="17"/>
        <v>2.75E-2</v>
      </c>
      <c r="F26" s="88" t="str">
        <f t="shared" si="11"/>
        <v>Oz</v>
      </c>
      <c r="G26" s="5">
        <f t="shared" si="12"/>
        <v>3.09375E-2</v>
      </c>
      <c r="I26" s="7" t="s">
        <v>302</v>
      </c>
      <c r="J26" s="7">
        <f t="shared" ref="J26:J27" si="18">J12</f>
        <v>18</v>
      </c>
      <c r="K26" s="7" t="s">
        <v>346</v>
      </c>
      <c r="L26" s="5">
        <f t="shared" ref="L26:L27" si="19">L12</f>
        <v>2.1658333333333334E-3</v>
      </c>
      <c r="M26" s="88" t="str">
        <f>K26</f>
        <v>Inch</v>
      </c>
      <c r="N26" s="5">
        <f>J26*L26</f>
        <v>3.8984999999999999E-2</v>
      </c>
    </row>
    <row r="27" spans="2:21" ht="15.5" x14ac:dyDescent="0.35">
      <c r="B27" s="7" t="s">
        <v>342</v>
      </c>
      <c r="C27" s="7">
        <f t="shared" si="16"/>
        <v>2.625</v>
      </c>
      <c r="D27" s="7" t="s">
        <v>17</v>
      </c>
      <c r="E27" s="5">
        <f t="shared" si="17"/>
        <v>0.1</v>
      </c>
      <c r="F27" s="5" t="str">
        <f t="shared" si="11"/>
        <v>Oz</v>
      </c>
      <c r="G27" s="5">
        <f t="shared" si="12"/>
        <v>0.26250000000000001</v>
      </c>
      <c r="I27" s="7" t="s">
        <v>343</v>
      </c>
      <c r="J27" s="7">
        <f t="shared" si="18"/>
        <v>1</v>
      </c>
      <c r="K27" s="7" t="s">
        <v>292</v>
      </c>
      <c r="L27" s="5">
        <f t="shared" si="19"/>
        <v>0</v>
      </c>
      <c r="M27" s="5" t="str">
        <f>K27</f>
        <v>Count</v>
      </c>
      <c r="N27" s="5">
        <f>J27*L27</f>
        <v>0</v>
      </c>
      <c r="P27" s="119" t="s">
        <v>389</v>
      </c>
      <c r="Q27" s="120"/>
      <c r="R27" s="121"/>
      <c r="S27" s="122" t="s">
        <v>7</v>
      </c>
      <c r="T27" s="123"/>
      <c r="U27" s="30">
        <f>SUM(U31:U39)</f>
        <v>2.3818719586231358</v>
      </c>
    </row>
    <row r="28" spans="2:21" x14ac:dyDescent="0.35">
      <c r="B28" s="7" t="s">
        <v>276</v>
      </c>
      <c r="C28" s="7">
        <v>1</v>
      </c>
      <c r="D28" s="7" t="s">
        <v>17</v>
      </c>
      <c r="E28" s="5">
        <f>'Cold Sub &amp; Wrap'!E11</f>
        <v>4.9785156249999997E-2</v>
      </c>
      <c r="F28" s="5" t="str">
        <f t="shared" si="11"/>
        <v>Oz</v>
      </c>
      <c r="G28" s="5">
        <f t="shared" si="12"/>
        <v>4.9785156249999997E-2</v>
      </c>
      <c r="P28" s="9"/>
      <c r="U28" s="8"/>
    </row>
    <row r="29" spans="2:21" ht="15.5" x14ac:dyDescent="0.35">
      <c r="B29" s="7" t="s">
        <v>302</v>
      </c>
      <c r="C29" s="7">
        <f>C14</f>
        <v>18</v>
      </c>
      <c r="D29" s="7" t="s">
        <v>346</v>
      </c>
      <c r="E29" s="5">
        <f>E14</f>
        <v>2.1658333333333334E-3</v>
      </c>
      <c r="F29" s="5" t="str">
        <f>D29</f>
        <v>Inch</v>
      </c>
      <c r="G29" s="5">
        <f>C29*E29</f>
        <v>3.8984999999999999E-2</v>
      </c>
      <c r="I29" s="119" t="s">
        <v>379</v>
      </c>
      <c r="J29" s="120"/>
      <c r="K29" s="121"/>
      <c r="L29" s="122" t="s">
        <v>7</v>
      </c>
      <c r="M29" s="123"/>
      <c r="N29" s="30">
        <f>SUM(N33:N42)</f>
        <v>3.6024969586231363</v>
      </c>
      <c r="P29" s="10"/>
      <c r="Q29" s="124" t="s">
        <v>13</v>
      </c>
      <c r="R29" s="125"/>
      <c r="S29" s="124" t="s">
        <v>14</v>
      </c>
      <c r="T29" s="125"/>
      <c r="U29" s="5" t="s">
        <v>6</v>
      </c>
    </row>
    <row r="30" spans="2:21" x14ac:dyDescent="0.35">
      <c r="B30" s="7" t="s">
        <v>343</v>
      </c>
      <c r="C30" s="7">
        <v>1</v>
      </c>
      <c r="D30" s="7" t="s">
        <v>292</v>
      </c>
      <c r="E30" s="5">
        <f>E15</f>
        <v>0</v>
      </c>
      <c r="F30" s="5" t="str">
        <f>D30</f>
        <v>Count</v>
      </c>
      <c r="G30" s="5">
        <f>C30*E30</f>
        <v>0</v>
      </c>
      <c r="I30" s="9"/>
      <c r="N30" s="8"/>
      <c r="P30" s="5" t="s">
        <v>10</v>
      </c>
      <c r="Q30" s="5" t="s">
        <v>2</v>
      </c>
      <c r="R30" s="5" t="s">
        <v>1</v>
      </c>
      <c r="S30" s="5" t="s">
        <v>11</v>
      </c>
      <c r="T30" s="5" t="s">
        <v>1</v>
      </c>
      <c r="U30" s="5" t="s">
        <v>15</v>
      </c>
    </row>
    <row r="31" spans="2:21" x14ac:dyDescent="0.35">
      <c r="I31" s="10"/>
      <c r="J31" s="124" t="s">
        <v>13</v>
      </c>
      <c r="K31" s="125"/>
      <c r="L31" s="124" t="s">
        <v>14</v>
      </c>
      <c r="M31" s="125"/>
      <c r="N31" s="5" t="s">
        <v>6</v>
      </c>
      <c r="P31" s="7" t="s">
        <v>340</v>
      </c>
      <c r="Q31" s="7">
        <f>22/3</f>
        <v>7.333333333333333</v>
      </c>
      <c r="R31" s="7" t="s">
        <v>17</v>
      </c>
      <c r="S31" s="5">
        <f>E7</f>
        <v>3.3574516898448738E-2</v>
      </c>
      <c r="T31" s="5" t="str">
        <f>R31</f>
        <v>Oz</v>
      </c>
      <c r="U31" s="5">
        <f>Q31*S31</f>
        <v>0.24621312392195741</v>
      </c>
    </row>
    <row r="32" spans="2:21" ht="15.5" x14ac:dyDescent="0.35">
      <c r="B32" s="119" t="s">
        <v>383</v>
      </c>
      <c r="C32" s="120"/>
      <c r="D32" s="121"/>
      <c r="E32" s="122" t="s">
        <v>7</v>
      </c>
      <c r="F32" s="123"/>
      <c r="G32" s="30">
        <f>SUM(G36:G42)</f>
        <v>3.4036974331407075</v>
      </c>
      <c r="I32" s="5" t="s">
        <v>10</v>
      </c>
      <c r="J32" s="5" t="s">
        <v>2</v>
      </c>
      <c r="K32" s="5" t="s">
        <v>1</v>
      </c>
      <c r="L32" s="5" t="s">
        <v>11</v>
      </c>
      <c r="M32" s="5" t="s">
        <v>1</v>
      </c>
      <c r="N32" s="5" t="s">
        <v>15</v>
      </c>
      <c r="P32" s="7" t="s">
        <v>9</v>
      </c>
      <c r="Q32" s="7">
        <v>3</v>
      </c>
      <c r="R32" s="7" t="s">
        <v>30</v>
      </c>
      <c r="S32" s="5">
        <f>S20</f>
        <v>0.49375000000000002</v>
      </c>
      <c r="T32" s="5" t="str">
        <f t="shared" ref="T32:T37" si="20">R32</f>
        <v>ct</v>
      </c>
      <c r="U32" s="5">
        <f t="shared" ref="U32:U37" si="21">Q32*S32</f>
        <v>1.4812500000000002</v>
      </c>
    </row>
    <row r="33" spans="2:21" x14ac:dyDescent="0.35">
      <c r="B33" s="9"/>
      <c r="G33" s="8"/>
      <c r="I33" s="7" t="s">
        <v>340</v>
      </c>
      <c r="J33" s="7">
        <f>22/3</f>
        <v>7.333333333333333</v>
      </c>
      <c r="K33" s="7" t="s">
        <v>17</v>
      </c>
      <c r="L33" s="5">
        <f>E7</f>
        <v>3.3574516898448738E-2</v>
      </c>
      <c r="M33" s="5" t="str">
        <f>K33</f>
        <v>Oz</v>
      </c>
      <c r="N33" s="5">
        <f>J33*L33</f>
        <v>0.24621312392195741</v>
      </c>
      <c r="P33" s="7" t="s">
        <v>232</v>
      </c>
      <c r="Q33" s="7">
        <f>'Cold Sub &amp; Wrap'!C15</f>
        <v>1.8055555555555556</v>
      </c>
      <c r="R33" s="7" t="s">
        <v>17</v>
      </c>
      <c r="S33" s="5">
        <f>E24</f>
        <v>7.2727272727272724E-2</v>
      </c>
      <c r="T33" s="5" t="str">
        <f t="shared" si="20"/>
        <v>Oz</v>
      </c>
      <c r="U33" s="5">
        <f t="shared" si="21"/>
        <v>0.1313131313131313</v>
      </c>
    </row>
    <row r="34" spans="2:21" x14ac:dyDescent="0.35">
      <c r="B34" s="10"/>
      <c r="C34" s="124" t="s">
        <v>13</v>
      </c>
      <c r="D34" s="125"/>
      <c r="E34" s="124" t="s">
        <v>14</v>
      </c>
      <c r="F34" s="125"/>
      <c r="G34" s="5" t="s">
        <v>6</v>
      </c>
      <c r="I34" s="7" t="s">
        <v>96</v>
      </c>
      <c r="J34" s="7">
        <v>1.5</v>
      </c>
      <c r="K34" s="7" t="s">
        <v>96</v>
      </c>
      <c r="L34" s="5">
        <f>L8</f>
        <v>1.625</v>
      </c>
      <c r="M34" s="5" t="str">
        <f t="shared" ref="M34:M38" si="22">K34</f>
        <v>Steak</v>
      </c>
      <c r="N34" s="5">
        <f t="shared" ref="N34:N38" si="23">J34*L34</f>
        <v>2.4375</v>
      </c>
      <c r="P34" s="7" t="s">
        <v>233</v>
      </c>
      <c r="Q34" s="7">
        <f>'Cold Sub &amp; Wrap'!C16</f>
        <v>1.4444444444444444</v>
      </c>
      <c r="R34" s="7" t="s">
        <v>17</v>
      </c>
      <c r="S34" s="5">
        <f t="shared" ref="S34:S39" si="24">E25</f>
        <v>9.7537878787878798E-2</v>
      </c>
      <c r="T34" s="5" t="str">
        <f t="shared" si="20"/>
        <v>Oz</v>
      </c>
      <c r="U34" s="5">
        <f t="shared" si="21"/>
        <v>0.14088804713804715</v>
      </c>
    </row>
    <row r="35" spans="2:21" x14ac:dyDescent="0.35">
      <c r="B35" s="5" t="s">
        <v>10</v>
      </c>
      <c r="C35" s="5" t="s">
        <v>2</v>
      </c>
      <c r="D35" s="5" t="s">
        <v>1</v>
      </c>
      <c r="E35" s="5" t="s">
        <v>11</v>
      </c>
      <c r="F35" s="5" t="s">
        <v>1</v>
      </c>
      <c r="G35" s="5" t="s">
        <v>15</v>
      </c>
      <c r="I35" s="7" t="s">
        <v>240</v>
      </c>
      <c r="J35" s="7">
        <v>2</v>
      </c>
      <c r="K35" s="7" t="s">
        <v>128</v>
      </c>
      <c r="L35" s="5">
        <f t="shared" ref="L35:L36" si="25">L9</f>
        <v>0.1046875</v>
      </c>
      <c r="M35" s="5" t="str">
        <f t="shared" si="22"/>
        <v>Slice</v>
      </c>
      <c r="N35" s="5">
        <f t="shared" si="23"/>
        <v>0.20937500000000001</v>
      </c>
      <c r="P35" s="7" t="s">
        <v>92</v>
      </c>
      <c r="Q35" s="7">
        <f>'Cold Sub &amp; Wrap'!C17</f>
        <v>1.125</v>
      </c>
      <c r="R35" s="7" t="s">
        <v>17</v>
      </c>
      <c r="S35" s="5">
        <f t="shared" si="24"/>
        <v>2.75E-2</v>
      </c>
      <c r="T35" s="5" t="str">
        <f t="shared" si="20"/>
        <v>Oz</v>
      </c>
      <c r="U35" s="5">
        <f t="shared" si="21"/>
        <v>3.09375E-2</v>
      </c>
    </row>
    <row r="36" spans="2:21" x14ac:dyDescent="0.35">
      <c r="B36" s="7" t="s">
        <v>340</v>
      </c>
      <c r="C36" s="7">
        <f>22/3</f>
        <v>7.333333333333333</v>
      </c>
      <c r="D36" s="7" t="s">
        <v>17</v>
      </c>
      <c r="E36" s="5">
        <f>E7</f>
        <v>3.3574516898448738E-2</v>
      </c>
      <c r="F36" s="5" t="str">
        <f>D36</f>
        <v>Oz</v>
      </c>
      <c r="G36" s="5">
        <f>C36*E36</f>
        <v>0.24621312392195741</v>
      </c>
      <c r="I36" s="7" t="s">
        <v>92</v>
      </c>
      <c r="J36" s="7">
        <v>3.125</v>
      </c>
      <c r="K36" s="7" t="s">
        <v>17</v>
      </c>
      <c r="L36" s="5">
        <f t="shared" si="25"/>
        <v>2.75E-2</v>
      </c>
      <c r="M36" s="88" t="str">
        <f t="shared" si="22"/>
        <v>Oz</v>
      </c>
      <c r="N36" s="5">
        <f t="shared" si="23"/>
        <v>8.59375E-2</v>
      </c>
      <c r="P36" s="7" t="s">
        <v>342</v>
      </c>
      <c r="Q36" s="7">
        <f>'Cold Sub &amp; Wrap'!C18</f>
        <v>2.625</v>
      </c>
      <c r="R36" s="87" t="s">
        <v>17</v>
      </c>
      <c r="S36" s="5">
        <f t="shared" si="24"/>
        <v>0.1</v>
      </c>
      <c r="T36" s="88" t="str">
        <f t="shared" si="20"/>
        <v>Oz</v>
      </c>
      <c r="U36" s="5">
        <f t="shared" si="21"/>
        <v>0.26250000000000001</v>
      </c>
    </row>
    <row r="37" spans="2:21" x14ac:dyDescent="0.35">
      <c r="B37" s="7" t="s">
        <v>96</v>
      </c>
      <c r="C37" s="7">
        <v>1.5</v>
      </c>
      <c r="D37" s="7" t="s">
        <v>96</v>
      </c>
      <c r="E37" s="5">
        <f>L8</f>
        <v>1.625</v>
      </c>
      <c r="F37" s="5" t="str">
        <f t="shared" ref="F37:F40" si="26">D37</f>
        <v>Steak</v>
      </c>
      <c r="G37" s="5">
        <f t="shared" ref="G37:G40" si="27">C37*E37</f>
        <v>2.4375</v>
      </c>
      <c r="I37" s="7" t="s">
        <v>232</v>
      </c>
      <c r="J37" s="7">
        <f>Q33</f>
        <v>1.8055555555555556</v>
      </c>
      <c r="K37" s="7" t="s">
        <v>17</v>
      </c>
      <c r="L37" s="5">
        <f>E9</f>
        <v>7.2727272727272724E-2</v>
      </c>
      <c r="M37" s="88" t="str">
        <f t="shared" si="22"/>
        <v>Oz</v>
      </c>
      <c r="N37" s="5">
        <f t="shared" si="23"/>
        <v>0.1313131313131313</v>
      </c>
      <c r="P37" s="7" t="s">
        <v>276</v>
      </c>
      <c r="Q37" s="7">
        <f t="shared" ref="Q37:Q38" si="28">C28</f>
        <v>1</v>
      </c>
      <c r="R37" s="7" t="s">
        <v>17</v>
      </c>
      <c r="S37" s="5">
        <f t="shared" si="24"/>
        <v>4.9785156249999997E-2</v>
      </c>
      <c r="T37" s="5" t="str">
        <f t="shared" si="20"/>
        <v>Oz</v>
      </c>
      <c r="U37" s="5">
        <f t="shared" si="21"/>
        <v>4.9785156249999997E-2</v>
      </c>
    </row>
    <row r="38" spans="2:21" x14ac:dyDescent="0.35">
      <c r="B38" s="7" t="s">
        <v>92</v>
      </c>
      <c r="C38" s="7">
        <v>5.8250000000000002</v>
      </c>
      <c r="D38" s="7" t="s">
        <v>17</v>
      </c>
      <c r="E38" s="5">
        <f>L10</f>
        <v>2.75E-2</v>
      </c>
      <c r="F38" s="5" t="str">
        <f t="shared" si="26"/>
        <v>Oz</v>
      </c>
      <c r="G38" s="5">
        <f t="shared" si="27"/>
        <v>0.16018750000000001</v>
      </c>
      <c r="I38" s="7" t="s">
        <v>233</v>
      </c>
      <c r="J38" s="7">
        <f>Q34</f>
        <v>1.4444444444444444</v>
      </c>
      <c r="K38" s="7" t="s">
        <v>17</v>
      </c>
      <c r="L38" s="5">
        <f>E10</f>
        <v>9.7537878787878798E-2</v>
      </c>
      <c r="M38" s="88" t="str">
        <f t="shared" si="22"/>
        <v>Oz</v>
      </c>
      <c r="N38" s="5">
        <f t="shared" si="23"/>
        <v>0.14088804713804715</v>
      </c>
      <c r="P38" s="7" t="s">
        <v>302</v>
      </c>
      <c r="Q38" s="7">
        <f t="shared" si="28"/>
        <v>18</v>
      </c>
      <c r="R38" s="7" t="s">
        <v>346</v>
      </c>
      <c r="S38" s="5">
        <f>E29</f>
        <v>2.1658333333333334E-3</v>
      </c>
      <c r="T38" s="5" t="str">
        <f>R38</f>
        <v>Inch</v>
      </c>
      <c r="U38" s="5">
        <f>Q38*S38</f>
        <v>3.8984999999999999E-2</v>
      </c>
    </row>
    <row r="39" spans="2:21" x14ac:dyDescent="0.35">
      <c r="B39" s="7" t="s">
        <v>84</v>
      </c>
      <c r="C39" s="7">
        <v>4.5</v>
      </c>
      <c r="D39" s="7" t="s">
        <v>17</v>
      </c>
      <c r="E39" s="5">
        <f>Recipes!N5</f>
        <v>3.9433874270833336E-2</v>
      </c>
      <c r="F39" s="5" t="str">
        <f t="shared" si="26"/>
        <v>Oz</v>
      </c>
      <c r="G39" s="5">
        <f t="shared" si="27"/>
        <v>0.17745243421875001</v>
      </c>
      <c r="I39" s="92" t="s">
        <v>154</v>
      </c>
      <c r="J39" s="7">
        <v>2.625</v>
      </c>
      <c r="K39" s="7" t="s">
        <v>17</v>
      </c>
      <c r="L39" s="5">
        <f>E12</f>
        <v>0.1</v>
      </c>
      <c r="M39" s="88" t="str">
        <f t="shared" ref="M39" si="29">K39</f>
        <v>Oz</v>
      </c>
      <c r="N39" s="5">
        <f t="shared" ref="N39" si="30">J39*L39</f>
        <v>0.26250000000000001</v>
      </c>
      <c r="P39" s="7" t="s">
        <v>343</v>
      </c>
      <c r="Q39" s="7">
        <v>1</v>
      </c>
      <c r="R39" s="7" t="s">
        <v>292</v>
      </c>
      <c r="S39" s="5">
        <f t="shared" si="24"/>
        <v>0</v>
      </c>
      <c r="T39" s="5" t="str">
        <f>R39</f>
        <v>Count</v>
      </c>
      <c r="U39" s="5">
        <f>Q39*S39</f>
        <v>0</v>
      </c>
    </row>
    <row r="40" spans="2:21" x14ac:dyDescent="0.35">
      <c r="B40" s="7" t="s">
        <v>22</v>
      </c>
      <c r="C40" s="7">
        <v>1.875</v>
      </c>
      <c r="D40" s="7" t="s">
        <v>17</v>
      </c>
      <c r="E40" s="5">
        <f>Pizza!E9</f>
        <v>0.18312500000000001</v>
      </c>
      <c r="F40" s="5" t="str">
        <f t="shared" si="26"/>
        <v>Oz</v>
      </c>
      <c r="G40" s="5">
        <f t="shared" si="27"/>
        <v>0.34335937500000002</v>
      </c>
      <c r="I40" s="7" t="s">
        <v>276</v>
      </c>
      <c r="J40" s="7">
        <v>1</v>
      </c>
      <c r="K40" s="7" t="s">
        <v>17</v>
      </c>
      <c r="L40" s="5">
        <f>E28</f>
        <v>4.9785156249999997E-2</v>
      </c>
      <c r="M40" s="88" t="str">
        <f>K40</f>
        <v>Oz</v>
      </c>
      <c r="N40" s="5">
        <f>J40*L40</f>
        <v>4.9785156249999997E-2</v>
      </c>
    </row>
    <row r="41" spans="2:21" ht="15.5" x14ac:dyDescent="0.35">
      <c r="B41" s="7" t="s">
        <v>302</v>
      </c>
      <c r="C41" s="7">
        <f>C14</f>
        <v>18</v>
      </c>
      <c r="D41" s="7" t="s">
        <v>346</v>
      </c>
      <c r="E41" s="5">
        <f>E14</f>
        <v>2.1658333333333334E-3</v>
      </c>
      <c r="F41" s="5" t="str">
        <f>D41</f>
        <v>Inch</v>
      </c>
      <c r="G41" s="5">
        <f>C41*E41</f>
        <v>3.8984999999999999E-2</v>
      </c>
      <c r="I41" s="7" t="s">
        <v>302</v>
      </c>
      <c r="J41" s="7">
        <f>J12</f>
        <v>18</v>
      </c>
      <c r="K41" s="7" t="s">
        <v>346</v>
      </c>
      <c r="L41" s="5">
        <f>L12</f>
        <v>2.1658333333333334E-3</v>
      </c>
      <c r="M41" s="88" t="str">
        <f>K41</f>
        <v>Inch</v>
      </c>
      <c r="N41" s="5">
        <f>J41*L41</f>
        <v>3.8984999999999999E-2</v>
      </c>
      <c r="P41" s="119" t="s">
        <v>390</v>
      </c>
      <c r="Q41" s="120"/>
      <c r="R41" s="121"/>
      <c r="S41" s="122" t="s">
        <v>7</v>
      </c>
      <c r="T41" s="123"/>
      <c r="U41" s="30">
        <f>SUM(U45:U54)</f>
        <v>2.2609539898731357</v>
      </c>
    </row>
    <row r="42" spans="2:21" x14ac:dyDescent="0.35">
      <c r="B42" s="7" t="s">
        <v>343</v>
      </c>
      <c r="C42" s="7">
        <v>1</v>
      </c>
      <c r="D42" s="7" t="s">
        <v>292</v>
      </c>
      <c r="E42" s="5">
        <f>E15</f>
        <v>0</v>
      </c>
      <c r="F42" s="5" t="str">
        <f>D42</f>
        <v>Count</v>
      </c>
      <c r="G42" s="5">
        <f>C42*E42</f>
        <v>0</v>
      </c>
      <c r="I42" s="7" t="s">
        <v>343</v>
      </c>
      <c r="J42" s="7">
        <f>J13</f>
        <v>1</v>
      </c>
      <c r="K42" s="7" t="s">
        <v>292</v>
      </c>
      <c r="L42" s="5">
        <f>L13</f>
        <v>0</v>
      </c>
      <c r="M42" s="5" t="str">
        <f>K42</f>
        <v>Count</v>
      </c>
      <c r="N42" s="5">
        <f>J42*L42</f>
        <v>0</v>
      </c>
      <c r="P42" s="9"/>
      <c r="U42" s="8"/>
    </row>
    <row r="43" spans="2:21" x14ac:dyDescent="0.35">
      <c r="P43" s="10"/>
      <c r="Q43" s="124" t="s">
        <v>13</v>
      </c>
      <c r="R43" s="125"/>
      <c r="S43" s="124" t="s">
        <v>14</v>
      </c>
      <c r="T43" s="125"/>
      <c r="U43" s="5" t="s">
        <v>6</v>
      </c>
    </row>
    <row r="44" spans="2:21" ht="15.5" x14ac:dyDescent="0.35">
      <c r="B44" s="119" t="s">
        <v>384</v>
      </c>
      <c r="C44" s="120"/>
      <c r="D44" s="121"/>
      <c r="E44" s="122" t="s">
        <v>7</v>
      </c>
      <c r="F44" s="123"/>
      <c r="G44" s="30">
        <f>SUM(G48:G53)</f>
        <v>2.150617701323938</v>
      </c>
      <c r="I44" s="119" t="s">
        <v>380</v>
      </c>
      <c r="J44" s="120"/>
      <c r="K44" s="121"/>
      <c r="L44" s="122" t="s">
        <v>7</v>
      </c>
      <c r="M44" s="123"/>
      <c r="N44" s="30">
        <f>SUM(N48:N54)</f>
        <v>2.0115453675585373</v>
      </c>
      <c r="P44" s="5" t="s">
        <v>10</v>
      </c>
      <c r="Q44" s="5" t="s">
        <v>2</v>
      </c>
      <c r="R44" s="5" t="s">
        <v>1</v>
      </c>
      <c r="S44" s="5" t="s">
        <v>11</v>
      </c>
      <c r="T44" s="5" t="s">
        <v>1</v>
      </c>
      <c r="U44" s="5" t="s">
        <v>15</v>
      </c>
    </row>
    <row r="45" spans="2:21" x14ac:dyDescent="0.35">
      <c r="B45" s="9"/>
      <c r="G45" s="8"/>
      <c r="I45" s="9"/>
      <c r="N45" s="8"/>
      <c r="P45" s="7" t="s">
        <v>340</v>
      </c>
      <c r="Q45" s="7">
        <f>22/3</f>
        <v>7.333333333333333</v>
      </c>
      <c r="R45" s="7" t="s">
        <v>17</v>
      </c>
      <c r="S45" s="5">
        <f>E7</f>
        <v>3.3574516898448738E-2</v>
      </c>
      <c r="T45" s="5" t="str">
        <f>R45</f>
        <v>Oz</v>
      </c>
      <c r="U45" s="5">
        <f>Q45*S45</f>
        <v>0.24621312392195741</v>
      </c>
    </row>
    <row r="46" spans="2:21" x14ac:dyDescent="0.35">
      <c r="B46" s="10"/>
      <c r="C46" s="124" t="s">
        <v>13</v>
      </c>
      <c r="D46" s="125"/>
      <c r="E46" s="124" t="s">
        <v>14</v>
      </c>
      <c r="F46" s="125"/>
      <c r="G46" s="5" t="s">
        <v>6</v>
      </c>
      <c r="I46" s="10"/>
      <c r="J46" s="124" t="s">
        <v>13</v>
      </c>
      <c r="K46" s="125"/>
      <c r="L46" s="124" t="s">
        <v>14</v>
      </c>
      <c r="M46" s="125"/>
      <c r="N46" s="5" t="s">
        <v>6</v>
      </c>
      <c r="P46" s="7" t="s">
        <v>324</v>
      </c>
      <c r="Q46" s="7">
        <v>7.5</v>
      </c>
      <c r="R46" s="7" t="s">
        <v>17</v>
      </c>
      <c r="S46" s="5">
        <f>L49</f>
        <v>0.126546875</v>
      </c>
      <c r="T46" s="5" t="str">
        <f t="shared" ref="T46:T52" si="31">R46</f>
        <v>Oz</v>
      </c>
      <c r="U46" s="5">
        <f t="shared" ref="U46:U52" si="32">Q46*S46</f>
        <v>0.9491015625</v>
      </c>
    </row>
    <row r="47" spans="2:21" x14ac:dyDescent="0.35">
      <c r="B47" s="5" t="s">
        <v>10</v>
      </c>
      <c r="C47" s="5" t="s">
        <v>2</v>
      </c>
      <c r="D47" s="5" t="s">
        <v>1</v>
      </c>
      <c r="E47" s="5" t="s">
        <v>11</v>
      </c>
      <c r="F47" s="5" t="s">
        <v>1</v>
      </c>
      <c r="G47" s="5" t="s">
        <v>15</v>
      </c>
      <c r="I47" s="5" t="s">
        <v>10</v>
      </c>
      <c r="J47" s="5" t="s">
        <v>2</v>
      </c>
      <c r="K47" s="5" t="s">
        <v>1</v>
      </c>
      <c r="L47" s="5" t="s">
        <v>11</v>
      </c>
      <c r="M47" s="5" t="s">
        <v>1</v>
      </c>
      <c r="N47" s="5" t="s">
        <v>15</v>
      </c>
      <c r="P47" s="7" t="s">
        <v>161</v>
      </c>
      <c r="Q47" s="7">
        <v>2</v>
      </c>
      <c r="R47" s="7" t="s">
        <v>17</v>
      </c>
      <c r="S47" s="5">
        <f>'Cold Sub &amp; Wrap'!S33</f>
        <v>0.10251953125</v>
      </c>
      <c r="T47" s="5" t="str">
        <f t="shared" si="31"/>
        <v>Oz</v>
      </c>
      <c r="U47" s="5">
        <f t="shared" si="32"/>
        <v>0.20503906250000001</v>
      </c>
    </row>
    <row r="48" spans="2:21" x14ac:dyDescent="0.35">
      <c r="B48" s="7" t="s">
        <v>340</v>
      </c>
      <c r="C48" s="7">
        <f>22/3</f>
        <v>7.333333333333333</v>
      </c>
      <c r="D48" s="7" t="s">
        <v>17</v>
      </c>
      <c r="E48" s="5">
        <f>E7</f>
        <v>3.3574516898448738E-2</v>
      </c>
      <c r="F48" s="5" t="str">
        <f>D48</f>
        <v>Oz</v>
      </c>
      <c r="G48" s="5">
        <f>C48*E48</f>
        <v>0.24621312392195741</v>
      </c>
      <c r="I48" s="7" t="s">
        <v>340</v>
      </c>
      <c r="J48" s="7">
        <f>22/3</f>
        <v>7.333333333333333</v>
      </c>
      <c r="K48" s="7" t="s">
        <v>17</v>
      </c>
      <c r="L48" s="5">
        <f>E7</f>
        <v>3.3574516898448738E-2</v>
      </c>
      <c r="M48" s="5" t="str">
        <f>K48</f>
        <v>Oz</v>
      </c>
      <c r="N48" s="5">
        <f>J48*L48</f>
        <v>0.24621312392195741</v>
      </c>
      <c r="P48" s="7" t="s">
        <v>232</v>
      </c>
      <c r="Q48" s="7">
        <f>Q33</f>
        <v>1.8055555555555556</v>
      </c>
      <c r="R48" s="7" t="s">
        <v>17</v>
      </c>
      <c r="S48" s="5">
        <f>E24</f>
        <v>7.2727272727272724E-2</v>
      </c>
      <c r="T48" s="5" t="str">
        <f t="shared" si="31"/>
        <v>Oz</v>
      </c>
      <c r="U48" s="5">
        <f t="shared" si="32"/>
        <v>0.1313131313131313</v>
      </c>
    </row>
    <row r="49" spans="2:21" x14ac:dyDescent="0.35">
      <c r="B49" s="7" t="s">
        <v>295</v>
      </c>
      <c r="C49" s="7">
        <v>2</v>
      </c>
      <c r="D49" s="7" t="s">
        <v>97</v>
      </c>
      <c r="E49" s="5">
        <f>Recipes!G21</f>
        <v>0.66589814357847965</v>
      </c>
      <c r="F49" s="5" t="str">
        <f t="shared" ref="F49:F51" si="33">D49</f>
        <v>Meatball</v>
      </c>
      <c r="G49" s="5">
        <f t="shared" ref="G49:G51" si="34">C49*E49</f>
        <v>1.3317962871569593</v>
      </c>
      <c r="I49" s="7" t="s">
        <v>324</v>
      </c>
      <c r="J49" s="7">
        <v>9.5</v>
      </c>
      <c r="K49" s="7" t="s">
        <v>17</v>
      </c>
      <c r="L49" s="5">
        <f>Pizza!L34</f>
        <v>0.126546875</v>
      </c>
      <c r="M49" s="5" t="str">
        <f t="shared" ref="M49:M52" si="35">K49</f>
        <v>Oz</v>
      </c>
      <c r="N49" s="5">
        <f t="shared" ref="N49:N52" si="36">J49*L49</f>
        <v>1.2021953125</v>
      </c>
      <c r="P49" s="7" t="s">
        <v>233</v>
      </c>
      <c r="Q49" s="7">
        <f t="shared" ref="Q49:Q51" si="37">Q34</f>
        <v>1.4444444444444444</v>
      </c>
      <c r="R49" s="7" t="s">
        <v>17</v>
      </c>
      <c r="S49" s="5">
        <f t="shared" ref="S49:S54" si="38">E25</f>
        <v>9.7537878787878798E-2</v>
      </c>
      <c r="T49" s="5" t="str">
        <f t="shared" si="31"/>
        <v>Oz</v>
      </c>
      <c r="U49" s="5">
        <f t="shared" si="32"/>
        <v>0.14088804713804715</v>
      </c>
    </row>
    <row r="50" spans="2:21" x14ac:dyDescent="0.35">
      <c r="B50" s="7" t="s">
        <v>102</v>
      </c>
      <c r="C50" s="7">
        <v>4</v>
      </c>
      <c r="D50" s="7" t="s">
        <v>17</v>
      </c>
      <c r="E50" s="5">
        <f>L11</f>
        <v>4.7565978811255329E-2</v>
      </c>
      <c r="F50" s="5" t="str">
        <f t="shared" si="33"/>
        <v>Oz</v>
      </c>
      <c r="G50" s="5">
        <f t="shared" si="34"/>
        <v>0.19026391524502131</v>
      </c>
      <c r="I50" s="7" t="s">
        <v>240</v>
      </c>
      <c r="J50" s="7">
        <v>2</v>
      </c>
      <c r="K50" s="7" t="s">
        <v>128</v>
      </c>
      <c r="L50" s="5">
        <f>L9</f>
        <v>0.1046875</v>
      </c>
      <c r="M50" s="5" t="str">
        <f t="shared" si="35"/>
        <v>Slice</v>
      </c>
      <c r="N50" s="5">
        <f t="shared" si="36"/>
        <v>0.20937500000000001</v>
      </c>
      <c r="P50" s="7" t="s">
        <v>92</v>
      </c>
      <c r="Q50" s="7">
        <f t="shared" si="37"/>
        <v>1.125</v>
      </c>
      <c r="R50" s="87" t="s">
        <v>17</v>
      </c>
      <c r="S50" s="5">
        <f t="shared" si="38"/>
        <v>2.75E-2</v>
      </c>
      <c r="T50" s="88" t="str">
        <f t="shared" si="31"/>
        <v>Oz</v>
      </c>
      <c r="U50" s="5">
        <f t="shared" si="32"/>
        <v>3.09375E-2</v>
      </c>
    </row>
    <row r="51" spans="2:21" x14ac:dyDescent="0.35">
      <c r="B51" s="7" t="s">
        <v>22</v>
      </c>
      <c r="C51" s="7">
        <v>1.875</v>
      </c>
      <c r="D51" s="7" t="s">
        <v>17</v>
      </c>
      <c r="E51" s="5">
        <f>E40</f>
        <v>0.18312500000000001</v>
      </c>
      <c r="F51" s="5" t="str">
        <f t="shared" si="33"/>
        <v>Oz</v>
      </c>
      <c r="G51" s="5">
        <f t="shared" si="34"/>
        <v>0.34335937500000002</v>
      </c>
      <c r="I51" s="7" t="s">
        <v>92</v>
      </c>
      <c r="J51" s="7">
        <f>J10</f>
        <v>5.8250000000000002</v>
      </c>
      <c r="K51" s="87" t="s">
        <v>17</v>
      </c>
      <c r="L51" s="5">
        <f t="shared" ref="L51:L54" si="39">L10</f>
        <v>2.75E-2</v>
      </c>
      <c r="M51" s="88" t="str">
        <f t="shared" si="35"/>
        <v>Oz</v>
      </c>
      <c r="N51" s="5">
        <f t="shared" si="36"/>
        <v>0.16018750000000001</v>
      </c>
      <c r="P51" s="7" t="s">
        <v>342</v>
      </c>
      <c r="Q51" s="7">
        <f t="shared" si="37"/>
        <v>2.625</v>
      </c>
      <c r="R51" s="7" t="s">
        <v>17</v>
      </c>
      <c r="S51" s="5">
        <f t="shared" si="38"/>
        <v>0.1</v>
      </c>
      <c r="T51" s="5" t="str">
        <f t="shared" si="31"/>
        <v>Oz</v>
      </c>
      <c r="U51" s="5">
        <f t="shared" si="32"/>
        <v>0.26250000000000001</v>
      </c>
    </row>
    <row r="52" spans="2:21" x14ac:dyDescent="0.35">
      <c r="B52" s="7" t="s">
        <v>302</v>
      </c>
      <c r="C52" s="7">
        <f>C14</f>
        <v>18</v>
      </c>
      <c r="D52" s="7" t="s">
        <v>346</v>
      </c>
      <c r="E52" s="5">
        <f>E14</f>
        <v>2.1658333333333334E-3</v>
      </c>
      <c r="F52" s="5" t="str">
        <f>D52</f>
        <v>Inch</v>
      </c>
      <c r="G52" s="5">
        <f>C52*E52</f>
        <v>3.8984999999999999E-2</v>
      </c>
      <c r="I52" s="7" t="s">
        <v>102</v>
      </c>
      <c r="J52" s="7">
        <f>J11</f>
        <v>3.25</v>
      </c>
      <c r="K52" s="7" t="s">
        <v>17</v>
      </c>
      <c r="L52" s="5">
        <f t="shared" si="39"/>
        <v>4.7565978811255329E-2</v>
      </c>
      <c r="M52" s="5" t="str">
        <f t="shared" si="35"/>
        <v>Oz</v>
      </c>
      <c r="N52" s="5">
        <f t="shared" si="36"/>
        <v>0.15458943113657983</v>
      </c>
      <c r="P52" s="7" t="s">
        <v>49</v>
      </c>
      <c r="Q52" s="7">
        <v>2</v>
      </c>
      <c r="R52" s="7" t="s">
        <v>17</v>
      </c>
      <c r="S52" s="5">
        <f>'Food Prices'!L30</f>
        <v>0.12798828125</v>
      </c>
      <c r="T52" s="5" t="str">
        <f t="shared" si="31"/>
        <v>Oz</v>
      </c>
      <c r="U52" s="5">
        <f t="shared" si="32"/>
        <v>0.2559765625</v>
      </c>
    </row>
    <row r="53" spans="2:21" x14ac:dyDescent="0.35">
      <c r="B53" s="7" t="s">
        <v>343</v>
      </c>
      <c r="C53" s="7">
        <v>1</v>
      </c>
      <c r="D53" s="7" t="s">
        <v>292</v>
      </c>
      <c r="E53" s="5">
        <f>E15</f>
        <v>0</v>
      </c>
      <c r="F53" s="5" t="str">
        <f>D53</f>
        <v>Count</v>
      </c>
      <c r="G53" s="5">
        <f>C53*E53</f>
        <v>0</v>
      </c>
      <c r="I53" s="7" t="s">
        <v>302</v>
      </c>
      <c r="J53" s="7">
        <f>J12</f>
        <v>18</v>
      </c>
      <c r="K53" s="7" t="s">
        <v>346</v>
      </c>
      <c r="L53" s="5">
        <f t="shared" si="39"/>
        <v>2.1658333333333334E-3</v>
      </c>
      <c r="M53" s="5" t="str">
        <f>K53</f>
        <v>Inch</v>
      </c>
      <c r="N53" s="5">
        <f>J53*L53</f>
        <v>3.8984999999999999E-2</v>
      </c>
      <c r="P53" s="7" t="s">
        <v>302</v>
      </c>
      <c r="Q53" s="7">
        <f t="shared" ref="Q53" si="40">C29</f>
        <v>18</v>
      </c>
      <c r="R53" s="7" t="s">
        <v>346</v>
      </c>
      <c r="S53" s="5">
        <f t="shared" si="38"/>
        <v>2.1658333333333334E-3</v>
      </c>
      <c r="T53" s="5" t="str">
        <f>R53</f>
        <v>Inch</v>
      </c>
      <c r="U53" s="5">
        <f>Q53*S53</f>
        <v>3.8984999999999999E-2</v>
      </c>
    </row>
    <row r="54" spans="2:21" x14ac:dyDescent="0.35">
      <c r="I54" s="7" t="s">
        <v>343</v>
      </c>
      <c r="J54" s="7">
        <v>1</v>
      </c>
      <c r="K54" s="7" t="s">
        <v>292</v>
      </c>
      <c r="L54" s="5">
        <f t="shared" si="39"/>
        <v>0</v>
      </c>
      <c r="M54" s="5" t="str">
        <f>K54</f>
        <v>Count</v>
      </c>
      <c r="N54" s="5">
        <f>J54*L54</f>
        <v>0</v>
      </c>
      <c r="P54" s="7" t="s">
        <v>343</v>
      </c>
      <c r="Q54" s="7">
        <v>1</v>
      </c>
      <c r="R54" s="7" t="s">
        <v>292</v>
      </c>
      <c r="S54" s="5">
        <f t="shared" si="38"/>
        <v>0</v>
      </c>
      <c r="T54" s="5" t="str">
        <f>R54</f>
        <v>Count</v>
      </c>
      <c r="U54" s="5">
        <f>Q54*S54</f>
        <v>0</v>
      </c>
    </row>
    <row r="55" spans="2:21" ht="15.5" x14ac:dyDescent="0.35">
      <c r="B55" s="119" t="s">
        <v>385</v>
      </c>
      <c r="C55" s="120"/>
      <c r="D55" s="121"/>
      <c r="E55" s="122" t="s">
        <v>7</v>
      </c>
      <c r="F55" s="123"/>
      <c r="G55" s="30">
        <f>SUM(G59:G64)</f>
        <v>2.2147589141669788</v>
      </c>
    </row>
    <row r="56" spans="2:21" ht="15.5" x14ac:dyDescent="0.35">
      <c r="B56" s="9"/>
      <c r="G56" s="8"/>
      <c r="I56" s="119" t="s">
        <v>381</v>
      </c>
      <c r="J56" s="120"/>
      <c r="K56" s="121"/>
      <c r="L56" s="122" t="s">
        <v>7</v>
      </c>
      <c r="M56" s="123"/>
      <c r="N56" s="30">
        <f>SUM(N60:N68)</f>
        <v>2.2077903272359567</v>
      </c>
      <c r="P56" s="119" t="s">
        <v>391</v>
      </c>
      <c r="Q56" s="120"/>
      <c r="R56" s="121"/>
      <c r="S56" s="122" t="s">
        <v>7</v>
      </c>
      <c r="T56" s="123"/>
      <c r="U56" s="30">
        <f>SUM(U60:U69)</f>
        <v>2.7931024273731357</v>
      </c>
    </row>
    <row r="57" spans="2:21" x14ac:dyDescent="0.35">
      <c r="B57" s="10"/>
      <c r="C57" s="124" t="s">
        <v>13</v>
      </c>
      <c r="D57" s="125"/>
      <c r="E57" s="124" t="s">
        <v>14</v>
      </c>
      <c r="F57" s="125"/>
      <c r="G57" s="5" t="s">
        <v>6</v>
      </c>
      <c r="I57" s="9"/>
      <c r="N57" s="8"/>
      <c r="P57" s="9"/>
      <c r="U57" s="8"/>
    </row>
    <row r="58" spans="2:21" x14ac:dyDescent="0.35">
      <c r="B58" s="5" t="s">
        <v>10</v>
      </c>
      <c r="C58" s="5" t="s">
        <v>2</v>
      </c>
      <c r="D58" s="5" t="s">
        <v>1</v>
      </c>
      <c r="E58" s="5" t="s">
        <v>11</v>
      </c>
      <c r="F58" s="5" t="s">
        <v>1</v>
      </c>
      <c r="G58" s="5" t="s">
        <v>15</v>
      </c>
      <c r="I58" s="10"/>
      <c r="J58" s="124" t="s">
        <v>13</v>
      </c>
      <c r="K58" s="125"/>
      <c r="L58" s="124" t="s">
        <v>14</v>
      </c>
      <c r="M58" s="125"/>
      <c r="N58" s="5" t="s">
        <v>6</v>
      </c>
      <c r="P58" s="10"/>
      <c r="Q58" s="124" t="s">
        <v>13</v>
      </c>
      <c r="R58" s="125"/>
      <c r="S58" s="124" t="s">
        <v>14</v>
      </c>
      <c r="T58" s="125"/>
      <c r="U58" s="5" t="s">
        <v>6</v>
      </c>
    </row>
    <row r="59" spans="2:21" x14ac:dyDescent="0.35">
      <c r="B59" s="7" t="s">
        <v>340</v>
      </c>
      <c r="C59" s="7">
        <f>22/3</f>
        <v>7.333333333333333</v>
      </c>
      <c r="D59" s="7" t="s">
        <v>17</v>
      </c>
      <c r="E59" s="5">
        <f>E7</f>
        <v>3.3574516898448738E-2</v>
      </c>
      <c r="F59" s="5" t="str">
        <f>D59</f>
        <v>Oz</v>
      </c>
      <c r="G59" s="5">
        <f>C59*E59</f>
        <v>0.24621312392195741</v>
      </c>
      <c r="I59" s="5" t="s">
        <v>10</v>
      </c>
      <c r="J59" s="5" t="s">
        <v>2</v>
      </c>
      <c r="K59" s="5" t="s">
        <v>1</v>
      </c>
      <c r="L59" s="5" t="s">
        <v>11</v>
      </c>
      <c r="M59" s="5" t="s">
        <v>1</v>
      </c>
      <c r="N59" s="5" t="s">
        <v>15</v>
      </c>
      <c r="P59" s="5" t="s">
        <v>10</v>
      </c>
      <c r="Q59" s="5" t="s">
        <v>2</v>
      </c>
      <c r="R59" s="5" t="s">
        <v>1</v>
      </c>
      <c r="S59" s="5" t="s">
        <v>11</v>
      </c>
      <c r="T59" s="5" t="s">
        <v>1</v>
      </c>
      <c r="U59" s="5" t="s">
        <v>15</v>
      </c>
    </row>
    <row r="60" spans="2:21" x14ac:dyDescent="0.35">
      <c r="B60" s="7" t="s">
        <v>87</v>
      </c>
      <c r="C60" s="7">
        <v>5</v>
      </c>
      <c r="D60" s="7" t="s">
        <v>17</v>
      </c>
      <c r="E60" s="5">
        <f>Pizza!E29</f>
        <v>0.27918750000000003</v>
      </c>
      <c r="F60" s="5" t="str">
        <f t="shared" ref="F60:F62" si="41">D60</f>
        <v>Oz</v>
      </c>
      <c r="G60" s="5">
        <f t="shared" ref="G60:G62" si="42">C60*E60</f>
        <v>1.3959375000000001</v>
      </c>
      <c r="I60" s="7" t="s">
        <v>340</v>
      </c>
      <c r="J60" s="7">
        <f>22/3</f>
        <v>7.333333333333333</v>
      </c>
      <c r="K60" s="7" t="s">
        <v>17</v>
      </c>
      <c r="L60" s="5">
        <f>E7</f>
        <v>3.3574516898448738E-2</v>
      </c>
      <c r="M60" s="5" t="str">
        <f>K60</f>
        <v>Oz</v>
      </c>
      <c r="N60" s="5">
        <f>J60*L60</f>
        <v>0.24621312392195741</v>
      </c>
      <c r="P60" s="7" t="s">
        <v>340</v>
      </c>
      <c r="Q60" s="7">
        <f>22/3</f>
        <v>7.333333333333333</v>
      </c>
      <c r="R60" s="7" t="s">
        <v>17</v>
      </c>
      <c r="S60" s="5">
        <f>E7</f>
        <v>3.3574516898448738E-2</v>
      </c>
      <c r="T60" s="5" t="str">
        <f>R60</f>
        <v>Oz</v>
      </c>
      <c r="U60" s="5">
        <f>Q60*S60</f>
        <v>0.24621312392195741</v>
      </c>
    </row>
    <row r="61" spans="2:21" x14ac:dyDescent="0.35">
      <c r="B61" s="7" t="s">
        <v>102</v>
      </c>
      <c r="C61" s="7">
        <v>4</v>
      </c>
      <c r="D61" s="7" t="s">
        <v>17</v>
      </c>
      <c r="E61" s="5">
        <f>L11</f>
        <v>4.7565978811255329E-2</v>
      </c>
      <c r="F61" s="5" t="str">
        <f t="shared" si="41"/>
        <v>Oz</v>
      </c>
      <c r="G61" s="5">
        <f t="shared" si="42"/>
        <v>0.19026391524502131</v>
      </c>
      <c r="I61" s="7" t="s">
        <v>324</v>
      </c>
      <c r="J61" s="7">
        <v>7.5</v>
      </c>
      <c r="K61" s="7" t="s">
        <v>17</v>
      </c>
      <c r="L61" s="5">
        <f>L49</f>
        <v>0.126546875</v>
      </c>
      <c r="M61" s="5" t="str">
        <f t="shared" ref="M61:M65" si="43">K61</f>
        <v>Oz</v>
      </c>
      <c r="N61" s="5">
        <f t="shared" ref="N61:N65" si="44">J61*L61</f>
        <v>0.9491015625</v>
      </c>
      <c r="P61" s="7" t="s">
        <v>9</v>
      </c>
      <c r="Q61" s="7">
        <v>3</v>
      </c>
      <c r="R61" s="7" t="s">
        <v>30</v>
      </c>
      <c r="S61" s="5">
        <f>S32</f>
        <v>0.49375000000000002</v>
      </c>
      <c r="T61" s="5" t="str">
        <f t="shared" ref="T61:T67" si="45">R61</f>
        <v>ct</v>
      </c>
      <c r="U61" s="5">
        <f t="shared" ref="U61:U67" si="46">Q61*S61</f>
        <v>1.4812500000000002</v>
      </c>
    </row>
    <row r="62" spans="2:21" x14ac:dyDescent="0.35">
      <c r="B62" s="7" t="s">
        <v>22</v>
      </c>
      <c r="C62" s="7">
        <v>1.875</v>
      </c>
      <c r="D62" s="7" t="s">
        <v>17</v>
      </c>
      <c r="E62" s="5">
        <f>E40</f>
        <v>0.18312500000000001</v>
      </c>
      <c r="F62" s="5" t="str">
        <f t="shared" si="41"/>
        <v>Oz</v>
      </c>
      <c r="G62" s="5">
        <f t="shared" si="42"/>
        <v>0.34335937500000002</v>
      </c>
      <c r="I62" s="7" t="s">
        <v>240</v>
      </c>
      <c r="J62" s="7">
        <v>2</v>
      </c>
      <c r="K62" s="7" t="s">
        <v>128</v>
      </c>
      <c r="L62" s="5">
        <f>L21</f>
        <v>0.1046875</v>
      </c>
      <c r="M62" s="5" t="str">
        <f t="shared" si="43"/>
        <v>Slice</v>
      </c>
      <c r="N62" s="5">
        <f t="shared" si="44"/>
        <v>0.20937500000000001</v>
      </c>
      <c r="P62" s="7" t="s">
        <v>161</v>
      </c>
      <c r="Q62" s="7">
        <f>Q47</f>
        <v>2</v>
      </c>
      <c r="R62" s="7" t="s">
        <v>17</v>
      </c>
      <c r="S62" s="5">
        <f>S47</f>
        <v>0.10251953125</v>
      </c>
      <c r="T62" s="5" t="str">
        <f t="shared" si="45"/>
        <v>Oz</v>
      </c>
      <c r="U62" s="5">
        <f t="shared" si="46"/>
        <v>0.20503906250000001</v>
      </c>
    </row>
    <row r="63" spans="2:21" x14ac:dyDescent="0.35">
      <c r="B63" s="7" t="s">
        <v>302</v>
      </c>
      <c r="C63" s="7">
        <f>C14</f>
        <v>18</v>
      </c>
      <c r="D63" s="7" t="s">
        <v>346</v>
      </c>
      <c r="E63" s="5">
        <f>E14</f>
        <v>2.1658333333333334E-3</v>
      </c>
      <c r="F63" s="5" t="str">
        <f>D63</f>
        <v>Inch</v>
      </c>
      <c r="G63" s="5">
        <f>C63*E63</f>
        <v>3.8984999999999999E-2</v>
      </c>
      <c r="I63" s="7" t="s">
        <v>92</v>
      </c>
      <c r="J63" s="7">
        <f>J22</f>
        <v>3.125</v>
      </c>
      <c r="K63" s="7" t="s">
        <v>17</v>
      </c>
      <c r="L63" s="5">
        <f t="shared" ref="L63:L68" si="47">L22</f>
        <v>2.75E-2</v>
      </c>
      <c r="M63" s="88" t="str">
        <f t="shared" si="43"/>
        <v>Oz</v>
      </c>
      <c r="N63" s="5">
        <f t="shared" si="44"/>
        <v>8.59375E-2</v>
      </c>
      <c r="P63" s="7" t="s">
        <v>232</v>
      </c>
      <c r="Q63" s="7">
        <f>Q48</f>
        <v>1.8055555555555556</v>
      </c>
      <c r="R63" s="7" t="s">
        <v>17</v>
      </c>
      <c r="S63" s="5">
        <f t="shared" ref="S63:S69" si="48">S48</f>
        <v>7.2727272727272724E-2</v>
      </c>
      <c r="T63" s="5" t="str">
        <f t="shared" si="45"/>
        <v>Oz</v>
      </c>
      <c r="U63" s="5">
        <f t="shared" si="46"/>
        <v>0.1313131313131313</v>
      </c>
    </row>
    <row r="64" spans="2:21" x14ac:dyDescent="0.35">
      <c r="B64" s="7" t="s">
        <v>343</v>
      </c>
      <c r="C64" s="7">
        <v>1</v>
      </c>
      <c r="D64" s="7" t="s">
        <v>292</v>
      </c>
      <c r="E64" s="5">
        <f>E15</f>
        <v>0</v>
      </c>
      <c r="F64" s="5" t="str">
        <f>D64</f>
        <v>Count</v>
      </c>
      <c r="G64" s="5">
        <f>C64*E64</f>
        <v>0</v>
      </c>
      <c r="I64" s="7" t="s">
        <v>91</v>
      </c>
      <c r="J64" s="7">
        <f t="shared" ref="J64" si="49">J23</f>
        <v>1.75</v>
      </c>
      <c r="K64" s="7" t="s">
        <v>17</v>
      </c>
      <c r="L64" s="5">
        <f t="shared" si="47"/>
        <v>0.11374999999999999</v>
      </c>
      <c r="M64" s="88" t="str">
        <f t="shared" si="43"/>
        <v>Oz</v>
      </c>
      <c r="N64" s="5">
        <f t="shared" si="44"/>
        <v>0.19906249999999998</v>
      </c>
      <c r="P64" s="7" t="s">
        <v>233</v>
      </c>
      <c r="Q64" s="7">
        <f t="shared" ref="Q64:Q68" si="50">Q49</f>
        <v>1.4444444444444444</v>
      </c>
      <c r="R64" s="7" t="s">
        <v>17</v>
      </c>
      <c r="S64" s="5">
        <f t="shared" si="48"/>
        <v>9.7537878787878798E-2</v>
      </c>
      <c r="T64" s="5" t="str">
        <f t="shared" si="45"/>
        <v>Oz</v>
      </c>
      <c r="U64" s="5">
        <f t="shared" si="46"/>
        <v>0.14088804713804715</v>
      </c>
    </row>
    <row r="65" spans="2:21" x14ac:dyDescent="0.35">
      <c r="I65" s="7" t="s">
        <v>90</v>
      </c>
      <c r="J65" s="7">
        <f>J24</f>
        <v>2.625</v>
      </c>
      <c r="K65" s="7" t="s">
        <v>17</v>
      </c>
      <c r="L65" s="5">
        <f t="shared" si="47"/>
        <v>0.12362903225806451</v>
      </c>
      <c r="M65" s="88" t="str">
        <f t="shared" si="43"/>
        <v>Oz</v>
      </c>
      <c r="N65" s="5">
        <f t="shared" si="44"/>
        <v>0.32452620967741935</v>
      </c>
      <c r="P65" s="7" t="s">
        <v>92</v>
      </c>
      <c r="Q65" s="7">
        <f t="shared" si="50"/>
        <v>1.125</v>
      </c>
      <c r="R65" s="87" t="s">
        <v>17</v>
      </c>
      <c r="S65" s="5">
        <f t="shared" si="48"/>
        <v>2.75E-2</v>
      </c>
      <c r="T65" s="88" t="str">
        <f t="shared" si="45"/>
        <v>Oz</v>
      </c>
      <c r="U65" s="5">
        <f t="shared" si="46"/>
        <v>3.09375E-2</v>
      </c>
    </row>
    <row r="66" spans="2:21" ht="15.5" x14ac:dyDescent="0.35">
      <c r="B66" s="119" t="s">
        <v>386</v>
      </c>
      <c r="C66" s="120"/>
      <c r="D66" s="121"/>
      <c r="E66" s="122" t="s">
        <v>7</v>
      </c>
      <c r="F66" s="123"/>
      <c r="G66" s="30">
        <f>SUM(G70:G76)</f>
        <v>2.1617849558336455</v>
      </c>
      <c r="I66" s="7" t="s">
        <v>102</v>
      </c>
      <c r="J66" s="7">
        <f>J52</f>
        <v>3.25</v>
      </c>
      <c r="K66" s="7" t="s">
        <v>17</v>
      </c>
      <c r="L66" s="5">
        <f t="shared" si="47"/>
        <v>4.7565978811255329E-2</v>
      </c>
      <c r="M66" s="88" t="str">
        <f>K66</f>
        <v>Oz</v>
      </c>
      <c r="N66" s="5">
        <f>J66*L66</f>
        <v>0.15458943113657983</v>
      </c>
      <c r="P66" s="7" t="s">
        <v>342</v>
      </c>
      <c r="Q66" s="7">
        <f t="shared" si="50"/>
        <v>2.625</v>
      </c>
      <c r="R66" s="7" t="s">
        <v>17</v>
      </c>
      <c r="S66" s="5">
        <f t="shared" si="48"/>
        <v>0.1</v>
      </c>
      <c r="T66" s="5" t="str">
        <f t="shared" si="45"/>
        <v>Oz</v>
      </c>
      <c r="U66" s="5">
        <f t="shared" si="46"/>
        <v>0.26250000000000001</v>
      </c>
    </row>
    <row r="67" spans="2:21" x14ac:dyDescent="0.35">
      <c r="B67" s="9"/>
      <c r="G67" s="8"/>
      <c r="I67" s="7" t="s">
        <v>302</v>
      </c>
      <c r="J67" s="7">
        <f t="shared" ref="J67" si="51">J53</f>
        <v>18</v>
      </c>
      <c r="K67" s="7" t="s">
        <v>346</v>
      </c>
      <c r="L67" s="5">
        <f t="shared" si="47"/>
        <v>2.1658333333333334E-3</v>
      </c>
      <c r="M67" s="88" t="str">
        <f>K67</f>
        <v>Inch</v>
      </c>
      <c r="N67" s="5">
        <f>J67*L67</f>
        <v>3.8984999999999999E-2</v>
      </c>
      <c r="P67" s="7" t="s">
        <v>49</v>
      </c>
      <c r="Q67" s="7">
        <f t="shared" si="50"/>
        <v>2</v>
      </c>
      <c r="R67" s="7" t="s">
        <v>17</v>
      </c>
      <c r="S67" s="5">
        <f t="shared" si="48"/>
        <v>0.12798828125</v>
      </c>
      <c r="T67" s="5" t="str">
        <f t="shared" si="45"/>
        <v>Oz</v>
      </c>
      <c r="U67" s="5">
        <f t="shared" si="46"/>
        <v>0.2559765625</v>
      </c>
    </row>
    <row r="68" spans="2:21" x14ac:dyDescent="0.35">
      <c r="B68" s="10"/>
      <c r="C68" s="124" t="s">
        <v>13</v>
      </c>
      <c r="D68" s="125"/>
      <c r="E68" s="124" t="s">
        <v>14</v>
      </c>
      <c r="F68" s="125"/>
      <c r="G68" s="5" t="s">
        <v>6</v>
      </c>
      <c r="I68" s="7" t="s">
        <v>343</v>
      </c>
      <c r="J68" s="7">
        <f>J54</f>
        <v>1</v>
      </c>
      <c r="K68" s="7" t="s">
        <v>292</v>
      </c>
      <c r="L68" s="5">
        <f t="shared" si="47"/>
        <v>0</v>
      </c>
      <c r="M68" s="5" t="str">
        <f>K68</f>
        <v>Count</v>
      </c>
      <c r="N68" s="5">
        <f>J68*L68</f>
        <v>0</v>
      </c>
      <c r="P68" s="7" t="s">
        <v>302</v>
      </c>
      <c r="Q68" s="7">
        <f t="shared" si="50"/>
        <v>18</v>
      </c>
      <c r="R68" s="7" t="s">
        <v>346</v>
      </c>
      <c r="S68" s="5">
        <f t="shared" si="48"/>
        <v>2.1658333333333334E-3</v>
      </c>
      <c r="T68" s="5" t="str">
        <f>R68</f>
        <v>Inch</v>
      </c>
      <c r="U68" s="5">
        <f>Q68*S68</f>
        <v>3.8984999999999999E-2</v>
      </c>
    </row>
    <row r="69" spans="2:21" x14ac:dyDescent="0.35">
      <c r="B69" s="5" t="s">
        <v>10</v>
      </c>
      <c r="C69" s="5" t="s">
        <v>2</v>
      </c>
      <c r="D69" s="5" t="s">
        <v>1</v>
      </c>
      <c r="E69" s="5" t="s">
        <v>11</v>
      </c>
      <c r="F69" s="5" t="s">
        <v>1</v>
      </c>
      <c r="G69" s="5" t="s">
        <v>15</v>
      </c>
      <c r="P69" s="7" t="s">
        <v>343</v>
      </c>
      <c r="Q69" s="7">
        <v>1</v>
      </c>
      <c r="R69" s="7" t="s">
        <v>292</v>
      </c>
      <c r="S69" s="5">
        <f t="shared" si="48"/>
        <v>0</v>
      </c>
      <c r="T69" s="5" t="str">
        <f>R69</f>
        <v>Count</v>
      </c>
      <c r="U69" s="5">
        <f>Q69*S69</f>
        <v>0</v>
      </c>
    </row>
    <row r="70" spans="2:21" ht="15.5" x14ac:dyDescent="0.35">
      <c r="B70" s="7" t="s">
        <v>340</v>
      </c>
      <c r="C70" s="7">
        <f>22/3</f>
        <v>7.333333333333333</v>
      </c>
      <c r="D70" s="7" t="s">
        <v>17</v>
      </c>
      <c r="E70" s="5">
        <f>E7</f>
        <v>3.3574516898448738E-2</v>
      </c>
      <c r="F70" s="5" t="str">
        <f>D70</f>
        <v>Oz</v>
      </c>
      <c r="G70" s="5">
        <f>C70*E70</f>
        <v>0.24621312392195741</v>
      </c>
      <c r="I70" s="119" t="s">
        <v>382</v>
      </c>
      <c r="J70" s="120"/>
      <c r="K70" s="121"/>
      <c r="L70" s="122" t="s">
        <v>7</v>
      </c>
      <c r="M70" s="123"/>
      <c r="N70" s="30">
        <f>SUM(N74:N83)</f>
        <v>2.114098521123136</v>
      </c>
    </row>
    <row r="71" spans="2:21" x14ac:dyDescent="0.35">
      <c r="B71" s="7" t="s">
        <v>204</v>
      </c>
      <c r="C71" s="7">
        <v>6.75</v>
      </c>
      <c r="D71" s="7" t="s">
        <v>17</v>
      </c>
      <c r="E71" s="5">
        <f>'Food Prices'!L43</f>
        <v>0.18931249999999999</v>
      </c>
      <c r="F71" s="5" t="str">
        <f t="shared" ref="F71:F74" si="52">D71</f>
        <v>Oz</v>
      </c>
      <c r="G71" s="5">
        <f t="shared" ref="G71:G74" si="53">C71*E71</f>
        <v>1.277859375</v>
      </c>
      <c r="I71" s="9"/>
      <c r="N71" s="8"/>
    </row>
    <row r="72" spans="2:21" x14ac:dyDescent="0.35">
      <c r="B72" s="7" t="s">
        <v>102</v>
      </c>
      <c r="C72" s="7">
        <v>4</v>
      </c>
      <c r="D72" s="7" t="s">
        <v>17</v>
      </c>
      <c r="E72" s="5">
        <f>L11</f>
        <v>4.7565978811255329E-2</v>
      </c>
      <c r="F72" s="5" t="str">
        <f t="shared" si="52"/>
        <v>Oz</v>
      </c>
      <c r="G72" s="5">
        <f t="shared" si="53"/>
        <v>0.19026391524502131</v>
      </c>
      <c r="I72" s="10"/>
      <c r="J72" s="124" t="s">
        <v>13</v>
      </c>
      <c r="K72" s="125"/>
      <c r="L72" s="124" t="s">
        <v>14</v>
      </c>
      <c r="M72" s="125"/>
      <c r="N72" s="5" t="s">
        <v>6</v>
      </c>
    </row>
    <row r="73" spans="2:21" x14ac:dyDescent="0.35">
      <c r="B73" s="7" t="s">
        <v>104</v>
      </c>
      <c r="C73" s="7">
        <v>0.125</v>
      </c>
      <c r="D73" s="7" t="s">
        <v>17</v>
      </c>
      <c r="E73" s="5">
        <f>'Food Prices'!L23</f>
        <v>0.52083333333333337</v>
      </c>
      <c r="F73" s="5" t="str">
        <f t="shared" si="52"/>
        <v>Oz</v>
      </c>
      <c r="G73" s="5">
        <f t="shared" si="53"/>
        <v>6.5104166666666671E-2</v>
      </c>
      <c r="I73" s="5" t="s">
        <v>10</v>
      </c>
      <c r="J73" s="5" t="s">
        <v>2</v>
      </c>
      <c r="K73" s="5" t="s">
        <v>1</v>
      </c>
      <c r="L73" s="5" t="s">
        <v>11</v>
      </c>
      <c r="M73" s="5" t="s">
        <v>1</v>
      </c>
      <c r="N73" s="5" t="s">
        <v>15</v>
      </c>
    </row>
    <row r="74" spans="2:21" x14ac:dyDescent="0.35">
      <c r="B74" s="7" t="s">
        <v>22</v>
      </c>
      <c r="C74" s="7">
        <v>1.875</v>
      </c>
      <c r="D74" s="7" t="s">
        <v>17</v>
      </c>
      <c r="E74" s="5">
        <f>E40</f>
        <v>0.18312500000000001</v>
      </c>
      <c r="F74" s="5" t="str">
        <f t="shared" si="52"/>
        <v>Oz</v>
      </c>
      <c r="G74" s="5">
        <f t="shared" si="53"/>
        <v>0.34335937500000002</v>
      </c>
      <c r="I74" s="7" t="s">
        <v>340</v>
      </c>
      <c r="J74" s="7">
        <f>22/3</f>
        <v>7.333333333333333</v>
      </c>
      <c r="K74" s="7" t="s">
        <v>17</v>
      </c>
      <c r="L74" s="5">
        <f>E7</f>
        <v>3.3574516898448738E-2</v>
      </c>
      <c r="M74" s="5" t="str">
        <f>K74</f>
        <v>Oz</v>
      </c>
      <c r="N74" s="5">
        <f>J74*L74</f>
        <v>0.24621312392195741</v>
      </c>
    </row>
    <row r="75" spans="2:21" x14ac:dyDescent="0.35">
      <c r="B75" s="7" t="s">
        <v>302</v>
      </c>
      <c r="C75" s="7">
        <f>C14</f>
        <v>18</v>
      </c>
      <c r="D75" s="7" t="s">
        <v>346</v>
      </c>
      <c r="E75" s="5">
        <f>E14</f>
        <v>2.1658333333333334E-3</v>
      </c>
      <c r="F75" s="5" t="str">
        <f>D75</f>
        <v>Inch</v>
      </c>
      <c r="G75" s="5">
        <f>C75*E75</f>
        <v>3.8984999999999999E-2</v>
      </c>
      <c r="I75" s="7" t="s">
        <v>324</v>
      </c>
      <c r="J75" s="7">
        <v>7.5</v>
      </c>
      <c r="K75" s="7" t="s">
        <v>17</v>
      </c>
      <c r="L75" s="5">
        <f>L49</f>
        <v>0.126546875</v>
      </c>
      <c r="M75" s="5" t="str">
        <f t="shared" ref="M75:M80" si="54">K75</f>
        <v>Oz</v>
      </c>
      <c r="N75" s="5">
        <f t="shared" ref="N75:N80" si="55">J75*L75</f>
        <v>0.9491015625</v>
      </c>
    </row>
    <row r="76" spans="2:21" x14ac:dyDescent="0.35">
      <c r="B76" s="7" t="s">
        <v>343</v>
      </c>
      <c r="C76" s="7">
        <v>1</v>
      </c>
      <c r="D76" s="7" t="s">
        <v>292</v>
      </c>
      <c r="E76" s="5">
        <f>E15</f>
        <v>0</v>
      </c>
      <c r="F76" s="5" t="str">
        <f>D76</f>
        <v>Count</v>
      </c>
      <c r="G76" s="5">
        <f>C76*E76</f>
        <v>0</v>
      </c>
      <c r="I76" s="7" t="s">
        <v>240</v>
      </c>
      <c r="J76" s="7">
        <v>2</v>
      </c>
      <c r="K76" s="7" t="s">
        <v>128</v>
      </c>
      <c r="L76" s="5">
        <f>L35</f>
        <v>0.1046875</v>
      </c>
      <c r="M76" s="5" t="str">
        <f t="shared" si="54"/>
        <v>Slice</v>
      </c>
      <c r="N76" s="5">
        <f t="shared" si="55"/>
        <v>0.20937500000000001</v>
      </c>
    </row>
    <row r="77" spans="2:21" x14ac:dyDescent="0.35">
      <c r="I77" s="7" t="s">
        <v>92</v>
      </c>
      <c r="J77" s="7">
        <f>J36</f>
        <v>3.125</v>
      </c>
      <c r="K77" s="7" t="s">
        <v>17</v>
      </c>
      <c r="L77" s="5">
        <f t="shared" ref="L77:L83" si="56">L36</f>
        <v>2.75E-2</v>
      </c>
      <c r="M77" s="88" t="str">
        <f t="shared" si="54"/>
        <v>Oz</v>
      </c>
      <c r="N77" s="5">
        <f t="shared" si="55"/>
        <v>8.59375E-2</v>
      </c>
    </row>
    <row r="78" spans="2:21" x14ac:dyDescent="0.35">
      <c r="I78" s="7" t="s">
        <v>232</v>
      </c>
      <c r="J78" s="7">
        <f t="shared" ref="J78:J80" si="57">J37</f>
        <v>1.8055555555555556</v>
      </c>
      <c r="K78" s="7" t="s">
        <v>17</v>
      </c>
      <c r="L78" s="5">
        <f t="shared" si="56"/>
        <v>7.2727272727272724E-2</v>
      </c>
      <c r="M78" s="88" t="str">
        <f t="shared" si="54"/>
        <v>Oz</v>
      </c>
      <c r="N78" s="5">
        <f t="shared" si="55"/>
        <v>0.1313131313131313</v>
      </c>
    </row>
    <row r="79" spans="2:21" x14ac:dyDescent="0.35">
      <c r="I79" s="7" t="s">
        <v>233</v>
      </c>
      <c r="J79" s="7">
        <f t="shared" si="57"/>
        <v>1.4444444444444444</v>
      </c>
      <c r="K79" s="7" t="s">
        <v>17</v>
      </c>
      <c r="L79" s="5">
        <f t="shared" si="56"/>
        <v>9.7537878787878798E-2</v>
      </c>
      <c r="M79" s="88" t="str">
        <f t="shared" si="54"/>
        <v>Oz</v>
      </c>
      <c r="N79" s="5">
        <f t="shared" si="55"/>
        <v>0.14088804713804715</v>
      </c>
    </row>
    <row r="80" spans="2:21" x14ac:dyDescent="0.35">
      <c r="I80" s="92" t="s">
        <v>154</v>
      </c>
      <c r="J80" s="7">
        <f t="shared" si="57"/>
        <v>2.625</v>
      </c>
      <c r="K80" s="7" t="s">
        <v>17</v>
      </c>
      <c r="L80" s="5">
        <f t="shared" si="56"/>
        <v>0.1</v>
      </c>
      <c r="M80" s="88" t="str">
        <f t="shared" si="54"/>
        <v>Oz</v>
      </c>
      <c r="N80" s="5">
        <f t="shared" si="55"/>
        <v>0.26250000000000001</v>
      </c>
    </row>
    <row r="81" spans="9:14" x14ac:dyDescent="0.35">
      <c r="I81" s="7" t="s">
        <v>276</v>
      </c>
      <c r="J81" s="7">
        <v>1</v>
      </c>
      <c r="K81" s="7" t="s">
        <v>17</v>
      </c>
      <c r="L81" s="5">
        <f t="shared" si="56"/>
        <v>4.9785156249999997E-2</v>
      </c>
      <c r="M81" s="88" t="str">
        <f>K81</f>
        <v>Oz</v>
      </c>
      <c r="N81" s="5">
        <f>J81*L81</f>
        <v>4.9785156249999997E-2</v>
      </c>
    </row>
    <row r="82" spans="9:14" x14ac:dyDescent="0.35">
      <c r="I82" s="7" t="s">
        <v>302</v>
      </c>
      <c r="J82" s="7">
        <f>J53</f>
        <v>18</v>
      </c>
      <c r="K82" s="7" t="s">
        <v>346</v>
      </c>
      <c r="L82" s="5">
        <f t="shared" si="56"/>
        <v>2.1658333333333334E-3</v>
      </c>
      <c r="M82" s="88" t="str">
        <f>K82</f>
        <v>Inch</v>
      </c>
      <c r="N82" s="5">
        <f>J82*L82</f>
        <v>3.8984999999999999E-2</v>
      </c>
    </row>
    <row r="83" spans="9:14" x14ac:dyDescent="0.35">
      <c r="I83" s="7" t="s">
        <v>343</v>
      </c>
      <c r="J83" s="7">
        <f>J54</f>
        <v>1</v>
      </c>
      <c r="K83" s="7" t="s">
        <v>292</v>
      </c>
      <c r="L83" s="5">
        <f t="shared" si="56"/>
        <v>0</v>
      </c>
      <c r="M83" s="5" t="str">
        <f>K83</f>
        <v>Count</v>
      </c>
      <c r="N83" s="5">
        <f>J83*L83</f>
        <v>0</v>
      </c>
    </row>
  </sheetData>
  <mergeCells count="69">
    <mergeCell ref="S43:T43"/>
    <mergeCell ref="P56:R56"/>
    <mergeCell ref="S56:T56"/>
    <mergeCell ref="Q58:R58"/>
    <mergeCell ref="S58:T58"/>
    <mergeCell ref="Q43:R43"/>
    <mergeCell ref="P3:R3"/>
    <mergeCell ref="S3:T3"/>
    <mergeCell ref="Q5:R5"/>
    <mergeCell ref="S5:T5"/>
    <mergeCell ref="S15:T15"/>
    <mergeCell ref="P15:R15"/>
    <mergeCell ref="S17:T17"/>
    <mergeCell ref="S27:T27"/>
    <mergeCell ref="S29:T29"/>
    <mergeCell ref="S41:T41"/>
    <mergeCell ref="B32:D32"/>
    <mergeCell ref="E32:F32"/>
    <mergeCell ref="C34:D34"/>
    <mergeCell ref="E34:F34"/>
    <mergeCell ref="B17:D17"/>
    <mergeCell ref="E17:F17"/>
    <mergeCell ref="C19:D19"/>
    <mergeCell ref="E19:F19"/>
    <mergeCell ref="Q17:R17"/>
    <mergeCell ref="P27:R27"/>
    <mergeCell ref="Q29:R29"/>
    <mergeCell ref="P41:R41"/>
    <mergeCell ref="B44:D44"/>
    <mergeCell ref="E44:F44"/>
    <mergeCell ref="J58:K58"/>
    <mergeCell ref="L58:M58"/>
    <mergeCell ref="I70:K70"/>
    <mergeCell ref="L70:M70"/>
    <mergeCell ref="B66:D66"/>
    <mergeCell ref="E66:F66"/>
    <mergeCell ref="C68:D68"/>
    <mergeCell ref="E68:F68"/>
    <mergeCell ref="B55:D55"/>
    <mergeCell ref="E55:F55"/>
    <mergeCell ref="C57:D57"/>
    <mergeCell ref="E57:F57"/>
    <mergeCell ref="C46:D46"/>
    <mergeCell ref="E46:F46"/>
    <mergeCell ref="J72:K72"/>
    <mergeCell ref="L72:M72"/>
    <mergeCell ref="I44:K44"/>
    <mergeCell ref="L44:M44"/>
    <mergeCell ref="J46:K46"/>
    <mergeCell ref="L46:M46"/>
    <mergeCell ref="I56:K56"/>
    <mergeCell ref="L56:M56"/>
    <mergeCell ref="B1:N1"/>
    <mergeCell ref="B3:D3"/>
    <mergeCell ref="E3:F3"/>
    <mergeCell ref="C5:D5"/>
    <mergeCell ref="E5:F5"/>
    <mergeCell ref="L3:M3"/>
    <mergeCell ref="L5:M5"/>
    <mergeCell ref="I3:K3"/>
    <mergeCell ref="J5:K5"/>
    <mergeCell ref="I15:K15"/>
    <mergeCell ref="J31:K31"/>
    <mergeCell ref="L31:M31"/>
    <mergeCell ref="L15:M15"/>
    <mergeCell ref="J17:K17"/>
    <mergeCell ref="L17:M17"/>
    <mergeCell ref="I29:K29"/>
    <mergeCell ref="L29:M29"/>
  </mergeCells>
  <pageMargins left="0.25" right="0.25" top="0.75" bottom="0.75" header="0.3" footer="0.3"/>
  <pageSetup scale="61" fitToHeight="0" orientation="landscape" blackAndWhite="1" horizontalDpi="4294967293" verticalDpi="0" r:id="rId1"/>
  <headerFooter>
    <oddHeader>&amp;A</oddHeader>
    <oddFooter>&amp;L&amp;P&amp;R&amp;D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Food Prices</vt:lpstr>
      <vt:lpstr>Paper Product Prices</vt:lpstr>
      <vt:lpstr>Recipes</vt:lpstr>
      <vt:lpstr>Sides</vt:lpstr>
      <vt:lpstr>Appetizer</vt:lpstr>
      <vt:lpstr>Pizza</vt:lpstr>
      <vt:lpstr>Stromboli</vt:lpstr>
      <vt:lpstr>Salad</vt:lpstr>
      <vt:lpstr>Cold Sub &amp; Wrap</vt:lpstr>
      <vt:lpstr>Hot 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Jacquelyn Cieri</dc:creator>
  <cp:lastModifiedBy>Jacquelyn Cieri</cp:lastModifiedBy>
  <cp:lastPrinted>2019-07-21T18:12:54Z</cp:lastPrinted>
  <dcterms:created xsi:type="dcterms:W3CDTF">2019-01-20T01:58:28Z</dcterms:created>
  <dcterms:modified xsi:type="dcterms:W3CDTF">2022-02-20T20:08:12Z</dcterms:modified>
</cp:coreProperties>
</file>